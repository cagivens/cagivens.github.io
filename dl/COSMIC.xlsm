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igiv\Downloads\"/>
    </mc:Choice>
  </mc:AlternateContent>
  <xr:revisionPtr revIDLastSave="0" documentId="13_ncr:1_{3410E74D-8C53-4568-809A-29AF2A93C9A9}" xr6:coauthVersionLast="47" xr6:coauthVersionMax="47" xr10:uidLastSave="{00000000-0000-0000-0000-000000000000}"/>
  <bookViews>
    <workbookView xWindow="-110" yWindow="-110" windowWidth="19420" windowHeight="11500" firstSheet="2" activeTab="8" xr2:uid="{C76BD0E9-A598-4FF9-89EE-B041DFCA9DE5}"/>
  </bookViews>
  <sheets>
    <sheet name="Set-Up" sheetId="3" r:id="rId1"/>
    <sheet name="Set-Up Cache" sheetId="8" r:id="rId2"/>
    <sheet name="Print-Out" sheetId="9" r:id="rId3"/>
    <sheet name="Shift Details" sheetId="2" r:id="rId4"/>
    <sheet name="Output Roster" sheetId="4" state="hidden" r:id="rId5"/>
    <sheet name="Selections" sheetId="5" r:id="rId6"/>
    <sheet name="SSPOT" sheetId="6" r:id="rId7"/>
    <sheet name="Indirect Role Tracker Cache" sheetId="7" r:id="rId8"/>
    <sheet name="Ambassadors" sheetId="12" r:id="rId9"/>
    <sheet name="Associates" sheetId="15" r:id="rId10"/>
    <sheet name="Shift Codes" sheetId="11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7" l="1"/>
  <c r="AC13" i="12" a="1"/>
  <c r="T13" i="12" a="1"/>
  <c r="K13" i="12" a="1"/>
  <c r="B13" i="12" a="1"/>
  <c r="AC13" i="12" l="1"/>
  <c r="T13" i="12"/>
  <c r="K13" i="12"/>
  <c r="B13" i="12"/>
  <c r="L19" i="3"/>
  <c r="L18" i="3"/>
  <c r="L17" i="3"/>
  <c r="L16" i="3"/>
  <c r="L15" i="3"/>
  <c r="L14" i="3"/>
  <c r="B10" i="3"/>
  <c r="D6" i="3"/>
  <c r="L3" i="3"/>
  <c r="L4" i="3"/>
  <c r="L5" i="3"/>
  <c r="L6" i="3"/>
  <c r="L7" i="3"/>
  <c r="L8" i="3"/>
  <c r="L9" i="3"/>
  <c r="L10" i="3"/>
  <c r="L11" i="3"/>
  <c r="L12" i="3"/>
  <c r="L1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" i="3"/>
  <c r="J3" i="3"/>
  <c r="J4" i="3"/>
  <c r="J5" i="3"/>
  <c r="J6" i="3"/>
  <c r="J7" i="3"/>
  <c r="J8" i="3"/>
  <c r="J9" i="3"/>
  <c r="J2" i="3"/>
  <c r="H3" i="3"/>
  <c r="H4" i="3"/>
  <c r="H5" i="3"/>
  <c r="H6" i="3"/>
  <c r="H7" i="3"/>
  <c r="H8" i="3"/>
  <c r="H9" i="3"/>
  <c r="H10" i="3"/>
  <c r="H11" i="3"/>
  <c r="H12" i="3"/>
  <c r="H13" i="3"/>
  <c r="D3" i="3"/>
  <c r="D4" i="3"/>
  <c r="D5" i="3"/>
  <c r="D7" i="3"/>
  <c r="D8" i="3"/>
  <c r="D9" i="3"/>
  <c r="D10" i="3"/>
  <c r="D11" i="3"/>
  <c r="F3" i="3"/>
  <c r="F4" i="3"/>
  <c r="F5" i="3"/>
  <c r="F6" i="3"/>
  <c r="F7" i="3"/>
  <c r="F8" i="3"/>
  <c r="F9" i="3"/>
  <c r="F10" i="3"/>
  <c r="F11" i="3"/>
  <c r="F12" i="3"/>
  <c r="F13" i="3"/>
  <c r="H2" i="3"/>
  <c r="F2" i="3"/>
  <c r="D2" i="3"/>
  <c r="B3" i="3"/>
  <c r="B4" i="3"/>
  <c r="B5" i="3"/>
  <c r="B6" i="3"/>
  <c r="B7" i="3"/>
  <c r="B8" i="3"/>
  <c r="B9" i="3"/>
  <c r="B11" i="3"/>
  <c r="B2" i="3"/>
  <c r="A15" i="12" l="1"/>
  <c r="A17" i="12"/>
  <c r="A18" i="12"/>
  <c r="A19" i="12"/>
  <c r="A20" i="12"/>
  <c r="A14" i="12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3" i="15"/>
  <c r="E4" i="15"/>
  <c r="E5" i="15"/>
  <c r="E6" i="15"/>
  <c r="E7" i="15"/>
  <c r="E8" i="15"/>
  <c r="E9" i="15"/>
  <c r="E10" i="15"/>
  <c r="E11" i="15"/>
  <c r="E12" i="15"/>
  <c r="E2" i="15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54" i="15"/>
  <c r="D255" i="15"/>
  <c r="D256" i="15"/>
  <c r="D257" i="15"/>
  <c r="D258" i="15"/>
  <c r="D259" i="15"/>
  <c r="D260" i="15"/>
  <c r="D261" i="15"/>
  <c r="D262" i="15"/>
  <c r="D263" i="15"/>
  <c r="D264" i="15"/>
  <c r="D265" i="15"/>
  <c r="D266" i="15"/>
  <c r="D267" i="15"/>
  <c r="D268" i="15"/>
  <c r="D269" i="15"/>
  <c r="D270" i="15"/>
  <c r="D271" i="15"/>
  <c r="D272" i="15"/>
  <c r="D273" i="15"/>
  <c r="D274" i="15"/>
  <c r="D275" i="15"/>
  <c r="D276" i="15"/>
  <c r="D277" i="15"/>
  <c r="D278" i="15"/>
  <c r="D279" i="15"/>
  <c r="D280" i="15"/>
  <c r="D281" i="15"/>
  <c r="D282" i="15"/>
  <c r="D283" i="15"/>
  <c r="D284" i="15"/>
  <c r="D285" i="15"/>
  <c r="D286" i="15"/>
  <c r="D287" i="15"/>
  <c r="D288" i="15"/>
  <c r="D289" i="15"/>
  <c r="D290" i="15"/>
  <c r="D291" i="15"/>
  <c r="D292" i="15"/>
  <c r="D293" i="15"/>
  <c r="D294" i="15"/>
  <c r="D295" i="15"/>
  <c r="D296" i="15"/>
  <c r="D297" i="15"/>
  <c r="D298" i="15"/>
  <c r="D299" i="15"/>
  <c r="D300" i="15"/>
  <c r="D301" i="15"/>
  <c r="D302" i="15"/>
  <c r="D303" i="15"/>
  <c r="D304" i="15"/>
  <c r="D305" i="15"/>
  <c r="D306" i="15"/>
  <c r="D307" i="15"/>
  <c r="D308" i="15"/>
  <c r="D309" i="15"/>
  <c r="D310" i="15"/>
  <c r="D311" i="15"/>
  <c r="D312" i="15"/>
  <c r="D313" i="15"/>
  <c r="D314" i="15"/>
  <c r="D315" i="15"/>
  <c r="D316" i="15"/>
  <c r="D317" i="15"/>
  <c r="D318" i="15"/>
  <c r="D319" i="15"/>
  <c r="D320" i="15"/>
  <c r="D321" i="15"/>
  <c r="D322" i="15"/>
  <c r="D323" i="15"/>
  <c r="D324" i="15"/>
  <c r="D325" i="15"/>
  <c r="D326" i="15"/>
  <c r="D327" i="15"/>
  <c r="D328" i="15"/>
  <c r="D329" i="15"/>
  <c r="D330" i="15"/>
  <c r="D331" i="15"/>
  <c r="D332" i="15"/>
  <c r="D333" i="15"/>
  <c r="D334" i="15"/>
  <c r="D335" i="15"/>
  <c r="D336" i="15"/>
  <c r="D337" i="15"/>
  <c r="D338" i="15"/>
  <c r="D339" i="15"/>
  <c r="D340" i="15"/>
  <c r="D341" i="15"/>
  <c r="D342" i="15"/>
  <c r="D343" i="15"/>
  <c r="D344" i="15"/>
  <c r="D345" i="15"/>
  <c r="D346" i="15"/>
  <c r="D347" i="15"/>
  <c r="D348" i="15"/>
  <c r="D349" i="15"/>
  <c r="D350" i="15"/>
  <c r="D351" i="15"/>
  <c r="D352" i="15"/>
  <c r="D353" i="15"/>
  <c r="D354" i="15"/>
  <c r="D355" i="15"/>
  <c r="D356" i="15"/>
  <c r="D357" i="15"/>
  <c r="D358" i="15"/>
  <c r="D359" i="15"/>
  <c r="D360" i="15"/>
  <c r="D361" i="15"/>
  <c r="D362" i="15"/>
  <c r="D363" i="15"/>
  <c r="D364" i="15"/>
  <c r="D365" i="15"/>
  <c r="D366" i="15"/>
  <c r="D367" i="15"/>
  <c r="D368" i="15"/>
  <c r="D369" i="15"/>
  <c r="D370" i="15"/>
  <c r="D371" i="15"/>
  <c r="D372" i="15"/>
  <c r="D373" i="15"/>
  <c r="D374" i="15"/>
  <c r="D375" i="15"/>
  <c r="D376" i="15"/>
  <c r="D377" i="15"/>
  <c r="D378" i="15"/>
  <c r="D379" i="15"/>
  <c r="D380" i="15"/>
  <c r="D381" i="15"/>
  <c r="D382" i="15"/>
  <c r="D383" i="15"/>
  <c r="D384" i="15"/>
  <c r="D385" i="15"/>
  <c r="D386" i="15"/>
  <c r="D387" i="15"/>
  <c r="D388" i="15"/>
  <c r="D389" i="15"/>
  <c r="D390" i="15"/>
  <c r="D391" i="15"/>
  <c r="D392" i="15"/>
  <c r="D393" i="15"/>
  <c r="D394" i="15"/>
  <c r="D395" i="15"/>
  <c r="D396" i="15"/>
  <c r="D397" i="15"/>
  <c r="D398" i="15"/>
  <c r="D399" i="15"/>
  <c r="D400" i="15"/>
  <c r="D401" i="15"/>
  <c r="D402" i="15"/>
  <c r="D403" i="15"/>
  <c r="D404" i="15"/>
  <c r="D405" i="15"/>
  <c r="D406" i="15"/>
  <c r="D407" i="15"/>
  <c r="D408" i="15"/>
  <c r="D409" i="15"/>
  <c r="D410" i="15"/>
  <c r="D411" i="15"/>
  <c r="D412" i="15"/>
  <c r="D413" i="15"/>
  <c r="D414" i="15"/>
  <c r="D415" i="15"/>
  <c r="D416" i="15"/>
  <c r="D417" i="15"/>
  <c r="D418" i="15"/>
  <c r="D419" i="15"/>
  <c r="D420" i="15"/>
  <c r="D421" i="15"/>
  <c r="D422" i="15"/>
  <c r="D423" i="15"/>
  <c r="D424" i="15"/>
  <c r="D425" i="15"/>
  <c r="D426" i="15"/>
  <c r="D427" i="15"/>
  <c r="D428" i="15"/>
  <c r="D429" i="15"/>
  <c r="D430" i="15"/>
  <c r="D431" i="15"/>
  <c r="D432" i="15"/>
  <c r="D433" i="15"/>
  <c r="D434" i="15"/>
  <c r="D435" i="15"/>
  <c r="D436" i="15"/>
  <c r="D437" i="15"/>
  <c r="D438" i="15"/>
  <c r="D439" i="15"/>
  <c r="D440" i="15"/>
  <c r="D441" i="15"/>
  <c r="D442" i="15"/>
  <c r="D443" i="15"/>
  <c r="D444" i="15"/>
  <c r="D445" i="15"/>
  <c r="D446" i="15"/>
  <c r="D447" i="15"/>
  <c r="D448" i="15"/>
  <c r="D449" i="15"/>
  <c r="D450" i="15"/>
  <c r="D451" i="15"/>
  <c r="D452" i="15"/>
  <c r="D453" i="15"/>
  <c r="D454" i="15"/>
  <c r="D455" i="15"/>
  <c r="D456" i="15"/>
  <c r="D457" i="15"/>
  <c r="D458" i="15"/>
  <c r="D459" i="15"/>
  <c r="D460" i="15"/>
  <c r="D461" i="15"/>
  <c r="D462" i="15"/>
  <c r="D463" i="15"/>
  <c r="D464" i="15"/>
  <c r="D465" i="15"/>
  <c r="D466" i="15"/>
  <c r="D467" i="15"/>
  <c r="AC12" i="12"/>
  <c r="T12" i="12"/>
  <c r="K12" i="12"/>
  <c r="P24" i="7" l="1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23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4" i="7"/>
  <c r="O4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23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4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23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A16" i="12" l="1"/>
  <c r="B12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<sst xmlns="http://schemas.openxmlformats.org/spreadsheetml/2006/main" count="4202" uniqueCount="642">
  <si>
    <t>ws-r-1-1</t>
  </si>
  <si>
    <t>ws-r-2-1</t>
  </si>
  <si>
    <t>ws-r-3-1</t>
  </si>
  <si>
    <t>ws-r-4-1</t>
  </si>
  <si>
    <t>SL1-1</t>
  </si>
  <si>
    <t>ws-r-1-2</t>
  </si>
  <si>
    <t>ws-r-1-3</t>
  </si>
  <si>
    <t>ws-r-1-4</t>
  </si>
  <si>
    <t>ws-r-1-5</t>
  </si>
  <si>
    <t>ws-r-1-6</t>
  </si>
  <si>
    <t>ws-r-1-7</t>
  </si>
  <si>
    <t>ws-r-1-8</t>
  </si>
  <si>
    <t>ws-r-1-9</t>
  </si>
  <si>
    <t>ws-r-1-10</t>
  </si>
  <si>
    <t>ws-r-2-2</t>
  </si>
  <si>
    <t>ws-r-2-3</t>
  </si>
  <si>
    <t>ws-r-2-4</t>
  </si>
  <si>
    <t>ws-r-2-5</t>
  </si>
  <si>
    <t>ws-r-2-6</t>
  </si>
  <si>
    <t>ws-r-2-7</t>
  </si>
  <si>
    <t>ws-r-2-8</t>
  </si>
  <si>
    <t>ws-r-2-9</t>
  </si>
  <si>
    <t>ws-r-2-10</t>
  </si>
  <si>
    <t>ws-r-3-2</t>
  </si>
  <si>
    <t>ws-r-3-3</t>
  </si>
  <si>
    <t>ws-r-3-4</t>
  </si>
  <si>
    <t>ws-r-3-5</t>
  </si>
  <si>
    <t>ws-r-3-6</t>
  </si>
  <si>
    <t>ws-r-3-7</t>
  </si>
  <si>
    <t>ws-r-3-8</t>
  </si>
  <si>
    <t>ws-r-3-9</t>
  </si>
  <si>
    <t>ws-r-3-10</t>
  </si>
  <si>
    <t>ws-r-3-11</t>
  </si>
  <si>
    <t>ws-r-3-12</t>
  </si>
  <si>
    <t>ws-r-4-2</t>
  </si>
  <si>
    <t>ws-r-4-3</t>
  </si>
  <si>
    <t>ws-r-4-4</t>
  </si>
  <si>
    <t>ws-r-4-5</t>
  </si>
  <si>
    <t>ws-r-4-6</t>
  </si>
  <si>
    <t>ws-r-4-7</t>
  </si>
  <si>
    <t>ws-r-4-8</t>
  </si>
  <si>
    <t>ws-r-4-9</t>
  </si>
  <si>
    <t>ws-r-4-10</t>
  </si>
  <si>
    <t>ws-r-4-11</t>
  </si>
  <si>
    <t>ws-r-4-12</t>
  </si>
  <si>
    <t>SL1-2</t>
  </si>
  <si>
    <t>SL1-3</t>
  </si>
  <si>
    <t>SL1-4</t>
  </si>
  <si>
    <t>SL1-5</t>
  </si>
  <si>
    <t>SL1-6</t>
  </si>
  <si>
    <t>SL1-7</t>
  </si>
  <si>
    <t>SL1-8</t>
  </si>
  <si>
    <t>Directs</t>
  </si>
  <si>
    <t>PS-1</t>
  </si>
  <si>
    <t>PS-2</t>
  </si>
  <si>
    <t>PS-3</t>
  </si>
  <si>
    <t>PS-4</t>
  </si>
  <si>
    <t>WS-1</t>
  </si>
  <si>
    <t>WS-2</t>
  </si>
  <si>
    <t>OB</t>
  </si>
  <si>
    <t>Outbound</t>
  </si>
  <si>
    <t>S-EOL</t>
  </si>
  <si>
    <t>S-PS</t>
  </si>
  <si>
    <t>S-WS</t>
  </si>
  <si>
    <t>BB-1</t>
  </si>
  <si>
    <t>BB-2</t>
  </si>
  <si>
    <t>WHD</t>
  </si>
  <si>
    <t>TRAINING</t>
  </si>
  <si>
    <t>AMB</t>
  </si>
  <si>
    <t>Standard Indirects</t>
  </si>
  <si>
    <t>Shoe Indirects</t>
  </si>
  <si>
    <t>Problem Solve</t>
  </si>
  <si>
    <t>Water Spider</t>
  </si>
  <si>
    <t>Refurb</t>
  </si>
  <si>
    <t>Recovery</t>
  </si>
  <si>
    <t>Employee ID</t>
  </si>
  <si>
    <t>Employee Login</t>
  </si>
  <si>
    <t>Schedule Work Groups</t>
  </si>
  <si>
    <t>Schedule Start Time</t>
  </si>
  <si>
    <t>Schedule End Time</t>
  </si>
  <si>
    <t>Schedule Explanation</t>
  </si>
  <si>
    <t>Last Seen</t>
  </si>
  <si>
    <t>Employee Shift Code</t>
  </si>
  <si>
    <t>Home Work Group</t>
  </si>
  <si>
    <t>Trained Work Groups</t>
  </si>
  <si>
    <t>Customer returns</t>
  </si>
  <si>
    <t>VET</t>
  </si>
  <si>
    <t>Clocked Out</t>
  </si>
  <si>
    <t>NPT7960</t>
  </si>
  <si>
    <t>Customer Returns</t>
  </si>
  <si>
    <t>hebbbria</t>
  </si>
  <si>
    <t>PT1213</t>
  </si>
  <si>
    <t>jedskyla</t>
  </si>
  <si>
    <t>hmadisro</t>
  </si>
  <si>
    <t>harritrw</t>
  </si>
  <si>
    <t>PT7691</t>
  </si>
  <si>
    <t>zpricedi</t>
  </si>
  <si>
    <t>PT2123</t>
  </si>
  <si>
    <t>yjoekni</t>
  </si>
  <si>
    <t>arandola</t>
  </si>
  <si>
    <t>pelounor</t>
  </si>
  <si>
    <t>PT7692</t>
  </si>
  <si>
    <t>guamacin</t>
  </si>
  <si>
    <t>PIT4-SL2-4</t>
  </si>
  <si>
    <t>PT7696</t>
  </si>
  <si>
    <t>tmcdowee</t>
  </si>
  <si>
    <t>Customer Returns,TO Dock</t>
  </si>
  <si>
    <t>kamimack</t>
  </si>
  <si>
    <t>DA5-0900</t>
  </si>
  <si>
    <t>lancaber</t>
  </si>
  <si>
    <t>NPT7959</t>
  </si>
  <si>
    <t>Customer Returns,External Repair,TO Dock</t>
  </si>
  <si>
    <t>ashvmich</t>
  </si>
  <si>
    <t>mayakel</t>
  </si>
  <si>
    <t>alleesal</t>
  </si>
  <si>
    <t>PT7702</t>
  </si>
  <si>
    <t>alkristc</t>
  </si>
  <si>
    <t>mjeanods</t>
  </si>
  <si>
    <t>rachaesf</t>
  </si>
  <si>
    <t>djudybro</t>
  </si>
  <si>
    <t>-</t>
  </si>
  <si>
    <t>yagouaya</t>
  </si>
  <si>
    <t>Y</t>
  </si>
  <si>
    <t>afatairv</t>
  </si>
  <si>
    <t>mdejzuan</t>
  </si>
  <si>
    <t>pancmira</t>
  </si>
  <si>
    <t>binkoa</t>
  </si>
  <si>
    <t>suteralw</t>
  </si>
  <si>
    <t>PT7701</t>
  </si>
  <si>
    <t>krissitl</t>
  </si>
  <si>
    <t>gardukei</t>
  </si>
  <si>
    <t>amandswi</t>
  </si>
  <si>
    <t>adammamy</t>
  </si>
  <si>
    <t>josenwal</t>
  </si>
  <si>
    <t>bprzystu</t>
  </si>
  <si>
    <t>jianhast</t>
  </si>
  <si>
    <t>hornsere</t>
  </si>
  <si>
    <t>PT3057</t>
  </si>
  <si>
    <t>anemark</t>
  </si>
  <si>
    <t>ztwesima</t>
  </si>
  <si>
    <t>petrenia</t>
  </si>
  <si>
    <t>xlechele</t>
  </si>
  <si>
    <t>paforste</t>
  </si>
  <si>
    <t>rigdonjd</t>
  </si>
  <si>
    <t>jeregelp</t>
  </si>
  <si>
    <t>pulideni</t>
  </si>
  <si>
    <t>melissty</t>
  </si>
  <si>
    <t>ashbomar</t>
  </si>
  <si>
    <t>PT3056</t>
  </si>
  <si>
    <t>taylbkri</t>
  </si>
  <si>
    <t>stevesmv</t>
  </si>
  <si>
    <t>nalexawa</t>
  </si>
  <si>
    <t>yhaczemi</t>
  </si>
  <si>
    <t>irsamant</t>
  </si>
  <si>
    <t>howzemor</t>
  </si>
  <si>
    <t>berkebro</t>
  </si>
  <si>
    <t>apirsche</t>
  </si>
  <si>
    <t>feadarry</t>
  </si>
  <si>
    <t>lhuyjami</t>
  </si>
  <si>
    <t>kaydenwi</t>
  </si>
  <si>
    <t>collijiw</t>
  </si>
  <si>
    <t>casymcca</t>
  </si>
  <si>
    <t>hicktrac</t>
  </si>
  <si>
    <t>taiheath</t>
  </si>
  <si>
    <t>lubackus</t>
  </si>
  <si>
    <t>PT240</t>
  </si>
  <si>
    <t>jzdavids</t>
  </si>
  <si>
    <t>khatisul</t>
  </si>
  <si>
    <t>jvilfort</t>
  </si>
  <si>
    <t>amvannuy</t>
  </si>
  <si>
    <t>davirudo</t>
  </si>
  <si>
    <t>swhittyl</t>
  </si>
  <si>
    <t>micfmaha</t>
  </si>
  <si>
    <t>eriirwin</t>
  </si>
  <si>
    <t>mamadzha</t>
  </si>
  <si>
    <t>srobechr</t>
  </si>
  <si>
    <t>odarrsmi</t>
  </si>
  <si>
    <t>gdansant</t>
  </si>
  <si>
    <t>dakiuami</t>
  </si>
  <si>
    <t>correaha</t>
  </si>
  <si>
    <t>wavewils</t>
  </si>
  <si>
    <t>joyvashl</t>
  </si>
  <si>
    <t>khuannie</t>
  </si>
  <si>
    <t>DB0-1030 (Not in SSPOT)</t>
  </si>
  <si>
    <t>Clocked In</t>
  </si>
  <si>
    <t>DB0-1030</t>
  </si>
  <si>
    <t>End of Line</t>
  </si>
  <si>
    <t>Shoe End of Line</t>
  </si>
  <si>
    <t>Ambassador</t>
  </si>
  <si>
    <t>Overflow</t>
  </si>
  <si>
    <t>RF-1</t>
  </si>
  <si>
    <t>RF-2</t>
  </si>
  <si>
    <t>S-RF</t>
  </si>
  <si>
    <t>S-WD</t>
  </si>
  <si>
    <t>WD</t>
  </si>
  <si>
    <t>EOL-2</t>
  </si>
  <si>
    <t>EOL-1</t>
  </si>
  <si>
    <t>cokoltio</t>
  </si>
  <si>
    <t>ftajusti</t>
  </si>
  <si>
    <t>russfait</t>
  </si>
  <si>
    <t>srockand</t>
  </si>
  <si>
    <t>ylightfr</t>
  </si>
  <si>
    <t>linlemas</t>
  </si>
  <si>
    <t>disekati</t>
  </si>
  <si>
    <t>sbrlaird</t>
  </si>
  <si>
    <t>jergoldt</t>
  </si>
  <si>
    <t>angeeick</t>
  </si>
  <si>
    <t>wmeralex</t>
  </si>
  <si>
    <t>ukiddhea</t>
  </si>
  <si>
    <t>AA Login</t>
  </si>
  <si>
    <t>Process Trained</t>
  </si>
  <si>
    <t>amywbalo</t>
  </si>
  <si>
    <t>chaseeli</t>
  </si>
  <si>
    <t>judsagro</t>
  </si>
  <si>
    <t>krystgui</t>
  </si>
  <si>
    <t>bobbloug</t>
  </si>
  <si>
    <t>kathpres</t>
  </si>
  <si>
    <t>friseliz</t>
  </si>
  <si>
    <t>azaniesk</t>
  </si>
  <si>
    <t>batebruc</t>
  </si>
  <si>
    <t>arletyd</t>
  </si>
  <si>
    <t>Audit</t>
  </si>
  <si>
    <t>ashricej</t>
  </si>
  <si>
    <t>subaprc</t>
  </si>
  <si>
    <t>chasbrig</t>
  </si>
  <si>
    <t>shcostlo</t>
  </si>
  <si>
    <t>sixemily</t>
  </si>
  <si>
    <t>ileskati</t>
  </si>
  <si>
    <t>gsstarr</t>
  </si>
  <si>
    <t>tianacri</t>
  </si>
  <si>
    <t>crawyaty</t>
  </si>
  <si>
    <t>smashlev</t>
  </si>
  <si>
    <t>yrivarry</t>
  </si>
  <si>
    <t>Decant</t>
  </si>
  <si>
    <t>willreef</t>
  </si>
  <si>
    <t>ullwilso</t>
  </si>
  <si>
    <t>paroccor</t>
  </si>
  <si>
    <t>kohgibsa</t>
  </si>
  <si>
    <t>romieua</t>
  </si>
  <si>
    <t>balojosh</t>
  </si>
  <si>
    <t>acardebo</t>
  </si>
  <si>
    <t xml:space="preserve">crawyaty </t>
  </si>
  <si>
    <t>ehlandlr</t>
  </si>
  <si>
    <t>fatular</t>
  </si>
  <si>
    <t>dnirizar</t>
  </si>
  <si>
    <t>gallaema</t>
  </si>
  <si>
    <t>zacdmilk</t>
  </si>
  <si>
    <t>rocktabb</t>
  </si>
  <si>
    <t>vrfabian</t>
  </si>
  <si>
    <t>tnordani</t>
  </si>
  <si>
    <t>brianiwi</t>
  </si>
  <si>
    <t>merrbell</t>
  </si>
  <si>
    <t>klausska</t>
  </si>
  <si>
    <t>denngorn</t>
  </si>
  <si>
    <t>kpotnich</t>
  </si>
  <si>
    <t xml:space="preserve">tchiffja </t>
  </si>
  <si>
    <t>Shoe end of Line</t>
  </si>
  <si>
    <t>Inbound</t>
  </si>
  <si>
    <t>lemastdy</t>
  </si>
  <si>
    <t>thereeln</t>
  </si>
  <si>
    <t>meggaduk</t>
  </si>
  <si>
    <t xml:space="preserve">balojosh </t>
  </si>
  <si>
    <t>gsstar</t>
  </si>
  <si>
    <t>ayremary</t>
  </si>
  <si>
    <t>monbrani</t>
  </si>
  <si>
    <t>bobbicas</t>
  </si>
  <si>
    <t>kathltoo</t>
  </si>
  <si>
    <t>Shoe ICQA</t>
  </si>
  <si>
    <t xml:space="preserve">Shoe ICQA </t>
  </si>
  <si>
    <t>weinbrek</t>
  </si>
  <si>
    <t xml:space="preserve">lemastdy </t>
  </si>
  <si>
    <t>braandeg</t>
  </si>
  <si>
    <t>Shoe Processing</t>
  </si>
  <si>
    <t>brbentzx</t>
  </si>
  <si>
    <t>eyvodeni</t>
  </si>
  <si>
    <t xml:space="preserve">kohgibsa </t>
  </si>
  <si>
    <t>hartnete</t>
  </si>
  <si>
    <t>wihoffma</t>
  </si>
  <si>
    <t>jeteyahn</t>
  </si>
  <si>
    <t>chakingz</t>
  </si>
  <si>
    <t xml:space="preserve">bobbloug </t>
  </si>
  <si>
    <t>mccuudan</t>
  </si>
  <si>
    <t xml:space="preserve">wmeralex </t>
  </si>
  <si>
    <t>tasjanpo</t>
  </si>
  <si>
    <t>raferrie</t>
  </si>
  <si>
    <t>xtrtaylo</t>
  </si>
  <si>
    <t>urbanlor</t>
  </si>
  <si>
    <t>cliffohb</t>
  </si>
  <si>
    <t>Shoe Recovery</t>
  </si>
  <si>
    <t>yhanddan</t>
  </si>
  <si>
    <t>TDR</t>
  </si>
  <si>
    <t>sheetssh</t>
  </si>
  <si>
    <t>abrockke</t>
  </si>
  <si>
    <t>darmcgin</t>
  </si>
  <si>
    <t>laviajoc</t>
  </si>
  <si>
    <t>bratweya</t>
  </si>
  <si>
    <t>alayshai</t>
  </si>
  <si>
    <t>dustkelh</t>
  </si>
  <si>
    <t>kelleywr</t>
  </si>
  <si>
    <t>larmesse</t>
  </si>
  <si>
    <t>ehduffie</t>
  </si>
  <si>
    <t>tayansel</t>
  </si>
  <si>
    <t>owecarlv</t>
  </si>
  <si>
    <t>mfershar</t>
  </si>
  <si>
    <t>paughhlo</t>
  </si>
  <si>
    <t>momikell</t>
  </si>
  <si>
    <t xml:space="preserve"> ddirisio</t>
  </si>
  <si>
    <t>garrecto</t>
  </si>
  <si>
    <t>ambfgrim</t>
  </si>
  <si>
    <t>krbradsh</t>
  </si>
  <si>
    <t>bilweya</t>
  </si>
  <si>
    <t>thokorau</t>
  </si>
  <si>
    <t>deitchqh</t>
  </si>
  <si>
    <t xml:space="preserve">Decant </t>
  </si>
  <si>
    <t>jennyxsn</t>
  </si>
  <si>
    <t>robinjli</t>
  </si>
  <si>
    <t>gjasmike</t>
  </si>
  <si>
    <t xml:space="preserve">End of Line </t>
  </si>
  <si>
    <t>beomaria</t>
  </si>
  <si>
    <t>ninmelvi</t>
  </si>
  <si>
    <t>rwillsta</t>
  </si>
  <si>
    <t>vrowalls</t>
  </si>
  <si>
    <t>thoanthy</t>
  </si>
  <si>
    <t>ddirisio</t>
  </si>
  <si>
    <t>fbadarre</t>
  </si>
  <si>
    <t>hallmelt</t>
  </si>
  <si>
    <t>mootychr</t>
  </si>
  <si>
    <t>mricdomi</t>
  </si>
  <si>
    <t>facunnin</t>
  </si>
  <si>
    <t>wsteveng</t>
  </si>
  <si>
    <t>joshleme</t>
  </si>
  <si>
    <t>bakirker</t>
  </si>
  <si>
    <t>annhkhuu</t>
  </si>
  <si>
    <t>PIT</t>
  </si>
  <si>
    <t>kdustkelh</t>
  </si>
  <si>
    <t>lynsltap</t>
  </si>
  <si>
    <t>dilzack</t>
  </si>
  <si>
    <t>ramrogst</t>
  </si>
  <si>
    <t>rskriste</t>
  </si>
  <si>
    <t>mapedreg</t>
  </si>
  <si>
    <t>levkhall</t>
  </si>
  <si>
    <t>robumain</t>
  </si>
  <si>
    <t>sabrahat</t>
  </si>
  <si>
    <t>lisgjame</t>
  </si>
  <si>
    <t xml:space="preserve"> zburkale</t>
  </si>
  <si>
    <t xml:space="preserve"> djeburke</t>
  </si>
  <si>
    <t>ahildrna</t>
  </si>
  <si>
    <t>wadeigre</t>
  </si>
  <si>
    <t>desirkau</t>
  </si>
  <si>
    <t>tylebanu</t>
  </si>
  <si>
    <t>angelfeo</t>
  </si>
  <si>
    <t>kwiltlac</t>
  </si>
  <si>
    <t>markguta</t>
  </si>
  <si>
    <t>roesslan</t>
  </si>
  <si>
    <t>corderdj</t>
  </si>
  <si>
    <t>ergarrow</t>
  </si>
  <si>
    <t>woodalme</t>
  </si>
  <si>
    <t>higannab</t>
  </si>
  <si>
    <t>chrigruz</t>
  </si>
  <si>
    <t>ushacall</t>
  </si>
  <si>
    <t>baunoah</t>
  </si>
  <si>
    <t>powellzk</t>
  </si>
  <si>
    <t>shedelan</t>
  </si>
  <si>
    <t>jguamake</t>
  </si>
  <si>
    <t>guamajos</t>
  </si>
  <si>
    <t>buyambxj</t>
  </si>
  <si>
    <t>jenfaziw</t>
  </si>
  <si>
    <t xml:space="preserve">merrbell </t>
  </si>
  <si>
    <t>schjones</t>
  </si>
  <si>
    <t>zjonkand</t>
  </si>
  <si>
    <t>ianzyoun</t>
  </si>
  <si>
    <t>huallisk</t>
  </si>
  <si>
    <t>annrayf</t>
  </si>
  <si>
    <t>raymonmv</t>
  </si>
  <si>
    <t>mccdylay</t>
  </si>
  <si>
    <t>loganare</t>
  </si>
  <si>
    <t>Smashlev</t>
  </si>
  <si>
    <t>pletchea</t>
  </si>
  <si>
    <t>rforesht</t>
  </si>
  <si>
    <t>ittijani</t>
  </si>
  <si>
    <t>hiiemily</t>
  </si>
  <si>
    <t>maurihub</t>
  </si>
  <si>
    <t>tranlor</t>
  </si>
  <si>
    <t>palidalt</t>
  </si>
  <si>
    <t>Burkelel</t>
  </si>
  <si>
    <t>broxoann</t>
  </si>
  <si>
    <t>bloomtyb</t>
  </si>
  <si>
    <t>rcarrli</t>
  </si>
  <si>
    <t>rubencfi</t>
  </si>
  <si>
    <t>melihmoo</t>
  </si>
  <si>
    <t>adrilaru</t>
  </si>
  <si>
    <t>skyedwar</t>
  </si>
  <si>
    <t>akayrobi</t>
  </si>
  <si>
    <t>ernewle</t>
  </si>
  <si>
    <t>jescotti</t>
  </si>
  <si>
    <t>maddlyst</t>
  </si>
  <si>
    <t>alexxjan</t>
  </si>
  <si>
    <t xml:space="preserve">davirudo </t>
  </si>
  <si>
    <t>Count</t>
  </si>
  <si>
    <t>First Instance Row</t>
  </si>
  <si>
    <t>Sun Indirect Role Meta Data</t>
  </si>
  <si>
    <t>Day Indirect Role Meta Data</t>
  </si>
  <si>
    <t>Twi Indirect Role Meta Data</t>
  </si>
  <si>
    <t>Nit Indirect Role Meta Data</t>
  </si>
  <si>
    <t>Shift Pattern</t>
  </si>
  <si>
    <t>Week</t>
  </si>
  <si>
    <t>Sort</t>
  </si>
  <si>
    <t>Su</t>
  </si>
  <si>
    <t>M</t>
  </si>
  <si>
    <t>Tu</t>
  </si>
  <si>
    <t>W</t>
  </si>
  <si>
    <t>Th</t>
  </si>
  <si>
    <t>F</t>
  </si>
  <si>
    <t>Sa</t>
  </si>
  <si>
    <t>Weight</t>
  </si>
  <si>
    <t>PT1239</t>
  </si>
  <si>
    <t>Su-Th</t>
  </si>
  <si>
    <t>SUN</t>
  </si>
  <si>
    <t>M-F</t>
  </si>
  <si>
    <t>PT1240</t>
  </si>
  <si>
    <t>Tu-Sa</t>
  </si>
  <si>
    <t>W-Su</t>
  </si>
  <si>
    <t>NPT7961</t>
  </si>
  <si>
    <t>Th-M</t>
  </si>
  <si>
    <t>PT1249</t>
  </si>
  <si>
    <t>F-M</t>
  </si>
  <si>
    <t>PT10354</t>
  </si>
  <si>
    <t>F-Tu</t>
  </si>
  <si>
    <t>NPT7962</t>
  </si>
  <si>
    <t>Sa-W</t>
  </si>
  <si>
    <t>PT7699</t>
  </si>
  <si>
    <t>DAY</t>
  </si>
  <si>
    <t>PT7698</t>
  </si>
  <si>
    <t>PT7697</t>
  </si>
  <si>
    <t>PT7695</t>
  </si>
  <si>
    <t>PT7694</t>
  </si>
  <si>
    <t>PT7693</t>
  </si>
  <si>
    <t>DA5-0930</t>
  </si>
  <si>
    <t>Su-W</t>
  </si>
  <si>
    <t>DAY/TWI</t>
  </si>
  <si>
    <t>DA7-0800</t>
  </si>
  <si>
    <t>DB1-0800</t>
  </si>
  <si>
    <t>W-Sa</t>
  </si>
  <si>
    <t>PT1212</t>
  </si>
  <si>
    <t>TWI</t>
  </si>
  <si>
    <t>PT4066</t>
  </si>
  <si>
    <t>PT6473</t>
  </si>
  <si>
    <t>NB3-1500</t>
  </si>
  <si>
    <t>TWI/NIT</t>
  </si>
  <si>
    <t>NIT</t>
  </si>
  <si>
    <t>PT7703</t>
  </si>
  <si>
    <t>PT8502</t>
  </si>
  <si>
    <t>NA7-1900</t>
  </si>
  <si>
    <t>NIT/SUN</t>
  </si>
  <si>
    <t>NB1-1900</t>
  </si>
  <si>
    <t>Ambassadors</t>
  </si>
  <si>
    <t>Sun</t>
  </si>
  <si>
    <t>Day</t>
  </si>
  <si>
    <t>Twi</t>
  </si>
  <si>
    <t>Nit</t>
  </si>
  <si>
    <t>pishikah</t>
  </si>
  <si>
    <t>boldedo</t>
  </si>
  <si>
    <t>jcavalen</t>
  </si>
  <si>
    <t>ksegnono</t>
  </si>
  <si>
    <t>elmabahk</t>
  </si>
  <si>
    <t>inmubwir</t>
  </si>
  <si>
    <t>hmilleda</t>
  </si>
  <si>
    <t>fredyfld</t>
  </si>
  <si>
    <t>jaykgood</t>
  </si>
  <si>
    <t>eldredji</t>
  </si>
  <si>
    <t>ckadebon</t>
  </si>
  <si>
    <t>sukariwi</t>
  </si>
  <si>
    <t>caischil</t>
  </si>
  <si>
    <t>hugautus</t>
  </si>
  <si>
    <t>amiaren</t>
  </si>
  <si>
    <t>burkelel</t>
  </si>
  <si>
    <t>cbrobret</t>
  </si>
  <si>
    <t>larleest</t>
  </si>
  <si>
    <t>mikpmott</t>
  </si>
  <si>
    <t>kermcclu</t>
  </si>
  <si>
    <t>sainbchr</t>
  </si>
  <si>
    <t>russrahj</t>
  </si>
  <si>
    <t>milehaid</t>
  </si>
  <si>
    <t>noelladi</t>
  </si>
  <si>
    <t>loterbau</t>
  </si>
  <si>
    <t>defifjan</t>
  </si>
  <si>
    <t>davhawra</t>
  </si>
  <si>
    <t>anchriso</t>
  </si>
  <si>
    <t>kimblans</t>
  </si>
  <si>
    <t>iwadekoo</t>
  </si>
  <si>
    <t>gardrago</t>
  </si>
  <si>
    <t>rgermell</t>
  </si>
  <si>
    <t>johgalbr</t>
  </si>
  <si>
    <t>asiagdix</t>
  </si>
  <si>
    <t>zburkale</t>
  </si>
  <si>
    <t>loundeja</t>
  </si>
  <si>
    <t>akolimee</t>
  </si>
  <si>
    <t>sarcstar</t>
  </si>
  <si>
    <t>zlebentz</t>
  </si>
  <si>
    <t>rannwhyw</t>
  </si>
  <si>
    <t>qkerbciv</t>
  </si>
  <si>
    <t>jobrandv</t>
  </si>
  <si>
    <t>asiypere</t>
  </si>
  <si>
    <t>wrigbhal</t>
  </si>
  <si>
    <t>leanarih</t>
  </si>
  <si>
    <t>pheinlek</t>
  </si>
  <si>
    <t>tffriedm</t>
  </si>
  <si>
    <t>mokhazal</t>
  </si>
  <si>
    <t>alvxevan</t>
  </si>
  <si>
    <t>angelfli</t>
  </si>
  <si>
    <t>malaydea</t>
  </si>
  <si>
    <t>crabgerd</t>
  </si>
  <si>
    <t>guilldes</t>
  </si>
  <si>
    <t>bahahash</t>
  </si>
  <si>
    <t>beavermc</t>
  </si>
  <si>
    <t>reverens</t>
  </si>
  <si>
    <t>wjdamont</t>
  </si>
  <si>
    <t>gallik</t>
  </si>
  <si>
    <t>ferrrebe</t>
  </si>
  <si>
    <t>gabrmorf</t>
  </si>
  <si>
    <t>hamemera</t>
  </si>
  <si>
    <t>chcampbh</t>
  </si>
  <si>
    <t>kimcreec</t>
  </si>
  <si>
    <t>mankini</t>
  </si>
  <si>
    <t>bgeneric</t>
  </si>
  <si>
    <t>eshbjohn</t>
  </si>
  <si>
    <t>waqangel</t>
  </si>
  <si>
    <t>ricessar</t>
  </si>
  <si>
    <t>finchuja</t>
  </si>
  <si>
    <t>gennjani</t>
  </si>
  <si>
    <t>rosenbcy</t>
  </si>
  <si>
    <t>ilialdan</t>
  </si>
  <si>
    <t>brownizv</t>
  </si>
  <si>
    <t>rmillesh</t>
  </si>
  <si>
    <t>emilesal</t>
  </si>
  <si>
    <t>jenninjk</t>
  </si>
  <si>
    <t>adaniesd</t>
  </si>
  <si>
    <t>rylemaso</t>
  </si>
  <si>
    <t>guyvenoe</t>
  </si>
  <si>
    <t>jessfjon</t>
  </si>
  <si>
    <t>chcarlit</t>
  </si>
  <si>
    <t>knutschr</t>
  </si>
  <si>
    <t>nmcendma</t>
  </si>
  <si>
    <t>chkovalt</t>
  </si>
  <si>
    <t>otkarenh</t>
  </si>
  <si>
    <t>ndijarni</t>
  </si>
  <si>
    <t>evansmcq</t>
  </si>
  <si>
    <t>aleandg</t>
  </si>
  <si>
    <t>fordyeli</t>
  </si>
  <si>
    <t>clashmwi</t>
  </si>
  <si>
    <t>ambellor</t>
  </si>
  <si>
    <t>hhartjon</t>
  </si>
  <si>
    <t>hronhawt</t>
  </si>
  <si>
    <t>jencynan</t>
  </si>
  <si>
    <t>alsmawar</t>
  </si>
  <si>
    <t>larrypla</t>
  </si>
  <si>
    <t>aleahweb</t>
  </si>
  <si>
    <t>emilpobi</t>
  </si>
  <si>
    <t>kbernlie</t>
  </si>
  <si>
    <t>dylaberk</t>
  </si>
  <si>
    <t>kaholler</t>
  </si>
  <si>
    <t>dorfsmit</t>
  </si>
  <si>
    <t>jackalef</t>
  </si>
  <si>
    <t>utaplucy</t>
  </si>
  <si>
    <t>deemejoh</t>
  </si>
  <si>
    <t>akovansh</t>
  </si>
  <si>
    <t>piernoep</t>
  </si>
  <si>
    <t>connolfj</t>
  </si>
  <si>
    <t>rickeyk</t>
  </si>
  <si>
    <t>Work Week</t>
  </si>
  <si>
    <t>vbhandak</t>
  </si>
  <si>
    <t>danbold</t>
  </si>
  <si>
    <t>lk</t>
  </si>
  <si>
    <t>Warehouse Deals,Customer Returns,External Repair</t>
  </si>
  <si>
    <t>Unavailable</t>
  </si>
  <si>
    <t>Customer Returns,External Repair</t>
  </si>
  <si>
    <t>jmceldow</t>
  </si>
  <si>
    <t>Shift Swap To</t>
  </si>
  <si>
    <t>gagegru</t>
  </si>
  <si>
    <t>Scheduled Without Context</t>
  </si>
  <si>
    <t>SA5-1200</t>
  </si>
  <si>
    <t>Admin/HR/IT</t>
  </si>
  <si>
    <t>upierran</t>
  </si>
  <si>
    <t>SA0-1030</t>
  </si>
  <si>
    <t>PT7699-CRET</t>
  </si>
  <si>
    <t>khglj</t>
  </si>
  <si>
    <t>wsr5</t>
  </si>
  <si>
    <t>l</t>
  </si>
  <si>
    <t>PT7698-CRET</t>
  </si>
  <si>
    <t>dghjt</t>
  </si>
  <si>
    <t>E9736802</t>
  </si>
  <si>
    <t>jkl</t>
  </si>
  <si>
    <t>wsr47</t>
  </si>
  <si>
    <t>rghw</t>
  </si>
  <si>
    <t>r27</t>
  </si>
  <si>
    <t>wsr412</t>
  </si>
  <si>
    <t>PT7697-CRET</t>
  </si>
  <si>
    <t>ws_-r-2-1</t>
  </si>
  <si>
    <t>dhrd</t>
  </si>
  <si>
    <t>sl11</t>
  </si>
  <si>
    <t>fyu</t>
  </si>
  <si>
    <t>Df9X0sL1RRMA</t>
  </si>
  <si>
    <t>icollieg</t>
  </si>
  <si>
    <t>PT7696-CRET</t>
  </si>
  <si>
    <t>D4YVmFL2RRMA</t>
  </si>
  <si>
    <t>LPNPMDL0266577</t>
  </si>
  <si>
    <t>frazchrk</t>
  </si>
  <si>
    <t>dvgf</t>
  </si>
  <si>
    <t>tchiffja</t>
  </si>
  <si>
    <t>kellhupp</t>
  </si>
  <si>
    <t>pethtros</t>
  </si>
  <si>
    <t>LPNPMDL2243124</t>
  </si>
  <si>
    <t>hserthar</t>
  </si>
  <si>
    <t>LPNPMDQ1582583</t>
  </si>
  <si>
    <t>sivemicb</t>
  </si>
  <si>
    <t>f</t>
  </si>
  <si>
    <t>janamise</t>
  </si>
  <si>
    <t>PIT4-SL1-4</t>
  </si>
  <si>
    <t>X00312K93N</t>
  </si>
  <si>
    <t>PT7693-CRET</t>
  </si>
  <si>
    <t>ws 2-9</t>
  </si>
  <si>
    <t>Warehouse Deals,Customer Returns</t>
  </si>
  <si>
    <t>meddlesn</t>
  </si>
  <si>
    <t>DB3-0900 (Not in SSPOT)</t>
  </si>
  <si>
    <t>DFxLbDL8RRMA</t>
  </si>
  <si>
    <t>DB3-0900</t>
  </si>
  <si>
    <t>curtjena</t>
  </si>
  <si>
    <t>DB3-0600 (Not in SSPOT)</t>
  </si>
  <si>
    <t>DB3-0600</t>
  </si>
  <si>
    <t>DA5-0930-CRET</t>
  </si>
  <si>
    <t>Warehouse Deals,Customer Returns,External Repair,TO Dock</t>
  </si>
  <si>
    <t>x cx</t>
  </si>
  <si>
    <t>WS-R-3-8</t>
  </si>
  <si>
    <t>tsXWHDUNSELL</t>
  </si>
  <si>
    <t>DA5-0900 (Not in SSPOT)</t>
  </si>
  <si>
    <t>jstephaw</t>
  </si>
  <si>
    <t>BB</t>
  </si>
  <si>
    <t>PS</t>
  </si>
  <si>
    <t>WS</t>
  </si>
  <si>
    <t>EOL</t>
  </si>
  <si>
    <t>RF</t>
  </si>
  <si>
    <t>RECOVERY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</si>
</sst>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22" fontId="0" fillId="0" borderId="0" xfId="0" applyNumberFormat="1"/>
    <xf numFmtId="16" fontId="0" fillId="0" borderId="0" xfId="0" applyNumberFormat="1"/>
    <xf numFmtId="0" fontId="0" fillId="2" borderId="9" xfId="0" applyFill="1" applyBorder="1"/>
    <xf numFmtId="0" fontId="0" fillId="3" borderId="31" xfId="0" applyFill="1" applyBorder="1"/>
    <xf numFmtId="0" fontId="1" fillId="0" borderId="0" xfId="0" applyFont="1" applyAlignment="1">
      <alignment horizontal="center"/>
    </xf>
    <xf numFmtId="0" fontId="1" fillId="2" borderId="35" xfId="0" applyFont="1" applyFill="1" applyBorder="1"/>
    <xf numFmtId="0" fontId="1" fillId="2" borderId="21" xfId="0" applyFont="1" applyFill="1" applyBorder="1"/>
    <xf numFmtId="0" fontId="1" fillId="2" borderId="8" xfId="0" applyFont="1" applyFill="1" applyBorder="1" applyAlignment="1">
      <alignment horizontal="right"/>
    </xf>
    <xf numFmtId="0" fontId="0" fillId="2" borderId="32" xfId="0" applyFill="1" applyBorder="1"/>
    <xf numFmtId="0" fontId="1" fillId="2" borderId="10" xfId="0" applyFont="1" applyFill="1" applyBorder="1" applyAlignment="1">
      <alignment horizontal="right"/>
    </xf>
    <xf numFmtId="0" fontId="0" fillId="2" borderId="34" xfId="0" applyFill="1" applyBorder="1"/>
    <xf numFmtId="0" fontId="0" fillId="2" borderId="11" xfId="0" applyFill="1" applyBorder="1"/>
    <xf numFmtId="0" fontId="1" fillId="4" borderId="8" xfId="0" applyFont="1" applyFill="1" applyBorder="1" applyAlignment="1">
      <alignment horizontal="right"/>
    </xf>
    <xf numFmtId="0" fontId="0" fillId="4" borderId="32" xfId="0" applyFill="1" applyBorder="1"/>
    <xf numFmtId="0" fontId="0" fillId="4" borderId="9" xfId="0" applyFill="1" applyBorder="1"/>
    <xf numFmtId="0" fontId="0" fillId="0" borderId="0" xfId="0" applyFont="1"/>
    <xf numFmtId="0" fontId="0" fillId="5" borderId="0" xfId="0" applyFill="1"/>
    <xf numFmtId="0" fontId="6" fillId="5" borderId="0" xfId="0" applyFont="1" applyFill="1"/>
    <xf numFmtId="0" fontId="1" fillId="7" borderId="6" xfId="0" applyFont="1" applyFill="1" applyBorder="1"/>
    <xf numFmtId="0" fontId="0" fillId="7" borderId="7" xfId="0" applyFill="1" applyBorder="1"/>
    <xf numFmtId="0" fontId="1" fillId="7" borderId="14" xfId="0" applyFont="1" applyFill="1" applyBorder="1"/>
    <xf numFmtId="0" fontId="0" fillId="7" borderId="16" xfId="0" applyFill="1" applyBorder="1"/>
    <xf numFmtId="0" fontId="0" fillId="7" borderId="6" xfId="0" applyFill="1" applyBorder="1"/>
    <xf numFmtId="0" fontId="1" fillId="7" borderId="3" xfId="0" applyFont="1" applyFill="1" applyBorder="1"/>
    <xf numFmtId="0" fontId="0" fillId="7" borderId="19" xfId="0" applyFill="1" applyBorder="1"/>
    <xf numFmtId="0" fontId="1" fillId="7" borderId="18" xfId="0" applyFont="1" applyFill="1" applyBorder="1"/>
    <xf numFmtId="0" fontId="1" fillId="7" borderId="8" xfId="0" applyFont="1" applyFill="1" applyBorder="1"/>
    <xf numFmtId="0" fontId="0" fillId="7" borderId="9" xfId="0" applyFill="1" applyBorder="1"/>
    <xf numFmtId="0" fontId="1" fillId="7" borderId="4" xfId="0" applyFont="1" applyFill="1" applyBorder="1"/>
    <xf numFmtId="0" fontId="0" fillId="7" borderId="1" xfId="0" applyFill="1" applyBorder="1"/>
    <xf numFmtId="0" fontId="0" fillId="7" borderId="8" xfId="0" applyFill="1" applyBorder="1"/>
    <xf numFmtId="0" fontId="1" fillId="7" borderId="5" xfId="0" applyFont="1" applyFill="1" applyBorder="1"/>
    <xf numFmtId="0" fontId="0" fillId="7" borderId="21" xfId="0" applyFill="1" applyBorder="1"/>
    <xf numFmtId="0" fontId="1" fillId="7" borderId="20" xfId="0" applyFont="1" applyFill="1" applyBorder="1"/>
    <xf numFmtId="0" fontId="1" fillId="8" borderId="8" xfId="0" applyFont="1" applyFill="1" applyBorder="1"/>
    <xf numFmtId="0" fontId="0" fillId="8" borderId="9" xfId="0" applyFill="1" applyBorder="1"/>
    <xf numFmtId="0" fontId="1" fillId="8" borderId="4" xfId="0" applyFont="1" applyFill="1" applyBorder="1"/>
    <xf numFmtId="0" fontId="0" fillId="8" borderId="1" xfId="0" applyFill="1" applyBorder="1"/>
    <xf numFmtId="0" fontId="0" fillId="8" borderId="8" xfId="0" applyFill="1" applyBorder="1"/>
    <xf numFmtId="0" fontId="1" fillId="8" borderId="2" xfId="0" applyFont="1" applyFill="1" applyBorder="1"/>
    <xf numFmtId="0" fontId="0" fillId="8" borderId="22" xfId="0" applyFill="1" applyBorder="1"/>
    <xf numFmtId="0" fontId="1" fillId="8" borderId="23" xfId="0" applyFont="1" applyFill="1" applyBorder="1"/>
    <xf numFmtId="0" fontId="0" fillId="8" borderId="24" xfId="0" applyFill="1" applyBorder="1"/>
    <xf numFmtId="0" fontId="1" fillId="8" borderId="15" xfId="0" applyFont="1" applyFill="1" applyBorder="1"/>
    <xf numFmtId="0" fontId="0" fillId="8" borderId="17" xfId="0" applyFill="1" applyBorder="1"/>
    <xf numFmtId="0" fontId="1" fillId="8" borderId="10" xfId="0" applyFont="1" applyFill="1" applyBorder="1"/>
    <xf numFmtId="0" fontId="0" fillId="8" borderId="11" xfId="0" applyFill="1" applyBorder="1"/>
    <xf numFmtId="0" fontId="0" fillId="8" borderId="10" xfId="0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32" xfId="0" applyBorder="1"/>
    <xf numFmtId="0" fontId="0" fillId="0" borderId="32" xfId="0" applyBorder="1" applyAlignment="1">
      <alignment horizontal="center"/>
    </xf>
    <xf numFmtId="0" fontId="1" fillId="0" borderId="0" xfId="0" applyFont="1" applyAlignment="1">
      <alignment horizontal="left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29" xfId="0" applyFont="1" applyFill="1" applyBorder="1" applyAlignment="1">
      <alignment horizontal="center"/>
    </xf>
    <xf numFmtId="0" fontId="3" fillId="6" borderId="30" xfId="0" applyFont="1" applyFill="1" applyBorder="1" applyAlignment="1">
      <alignment horizontal="center"/>
    </xf>
    <xf numFmtId="0" fontId="5" fillId="6" borderId="27" xfId="0" applyFont="1" applyFill="1" applyBorder="1" applyAlignment="1">
      <alignment horizontal="center"/>
    </xf>
    <xf numFmtId="0" fontId="5" fillId="6" borderId="28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26" xfId="0" applyFont="1" applyFill="1" applyBorder="1" applyAlignment="1">
      <alignment horizontal="center"/>
    </xf>
    <xf numFmtId="0" fontId="6" fillId="3" borderId="27" xfId="0" applyFont="1" applyFill="1" applyBorder="1" applyAlignment="1">
      <alignment horizontal="center"/>
    </xf>
    <xf numFmtId="0" fontId="6" fillId="3" borderId="33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7" fillId="10" borderId="36" xfId="0" applyFont="1" applyFill="1" applyBorder="1" applyAlignment="1">
      <alignment horizontal="center" vertical="center"/>
    </xf>
    <xf numFmtId="0" fontId="7" fillId="10" borderId="37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39" xfId="0" applyFont="1" applyFill="1" applyBorder="1" applyAlignment="1">
      <alignment horizontal="center" vertical="center"/>
    </xf>
    <xf numFmtId="0" fontId="7" fillId="10" borderId="40" xfId="0" applyFont="1" applyFill="1" applyBorder="1" applyAlignment="1">
      <alignment horizontal="center" vertical="center"/>
    </xf>
    <xf numFmtId="0" fontId="7" fillId="10" borderId="41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7" fillId="8" borderId="37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38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39" xfId="0" applyFont="1" applyFill="1" applyBorder="1" applyAlignment="1">
      <alignment horizontal="center" vertical="center"/>
    </xf>
    <xf numFmtId="0" fontId="7" fillId="8" borderId="40" xfId="0" applyFont="1" applyFill="1" applyBorder="1" applyAlignment="1">
      <alignment horizontal="center" vertical="center"/>
    </xf>
    <xf numFmtId="0" fontId="7" fillId="8" borderId="41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9" borderId="36" xfId="0" applyFont="1" applyFill="1" applyBorder="1" applyAlignment="1">
      <alignment horizontal="center" vertical="center"/>
    </xf>
    <xf numFmtId="0" fontId="7" fillId="9" borderId="37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0" fontId="7" fillId="9" borderId="38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  <xf numFmtId="0" fontId="7" fillId="9" borderId="39" xfId="0" applyFont="1" applyFill="1" applyBorder="1" applyAlignment="1">
      <alignment horizontal="center" vertical="center"/>
    </xf>
    <xf numFmtId="0" fontId="7" fillId="9" borderId="40" xfId="0" applyFont="1" applyFill="1" applyBorder="1" applyAlignment="1">
      <alignment horizontal="center" vertical="center"/>
    </xf>
    <xf numFmtId="0" fontId="7" fillId="9" borderId="41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7" fillId="7" borderId="36" xfId="0" applyFont="1" applyFill="1" applyBorder="1" applyAlignment="1">
      <alignment horizontal="center" vertical="center"/>
    </xf>
    <xf numFmtId="0" fontId="7" fillId="7" borderId="37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8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39" xfId="0" applyFont="1" applyFill="1" applyBorder="1" applyAlignment="1">
      <alignment horizontal="center" vertical="center"/>
    </xf>
    <xf numFmtId="0" fontId="7" fillId="7" borderId="40" xfId="0" applyFont="1" applyFill="1" applyBorder="1" applyAlignment="1">
      <alignment horizontal="center" vertical="center"/>
    </xf>
    <xf numFmtId="0" fontId="7" fillId="7" borderId="41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5">
    <dxf>
      <fill>
        <patternFill>
          <bgColor rgb="FF6699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1499679555650502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rgb="FF6699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14996795556505021"/>
        </patternFill>
      </fill>
      <border>
        <left/>
        <right/>
        <top/>
        <bottom/>
        <vertical/>
        <horizontal/>
      </border>
    </dxf>
    <dxf>
      <fill>
        <patternFill>
          <bgColor theme="1" tint="0.14996795556505021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6699FF"/>
      <color rgb="FF6600FF"/>
      <color rgb="FF9999FF"/>
      <color rgb="FFFF99CC"/>
      <color rgb="FF99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298450</xdr:colOff>
          <xdr:row>7</xdr:row>
          <xdr:rowOff>171450</xdr:rowOff>
        </xdr:from>
        <xdr:to>
          <xdr:col>15</xdr:col>
          <xdr:colOff>749300</xdr:colOff>
          <xdr:row>10</xdr:row>
          <xdr:rowOff>44450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0</xdr:row>
          <xdr:rowOff>101600</xdr:rowOff>
        </xdr:from>
        <xdr:to>
          <xdr:col>15</xdr:col>
          <xdr:colOff>0</xdr:colOff>
          <xdr:row>2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SSPOT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</xdr:row>
          <xdr:rowOff>12700</xdr:rowOff>
        </xdr:from>
        <xdr:to>
          <xdr:col>15</xdr:col>
          <xdr:colOff>0</xdr:colOff>
          <xdr:row>5</xdr:row>
          <xdr:rowOff>12700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127000</xdr:rowOff>
        </xdr:from>
        <xdr:to>
          <xdr:col>14</xdr:col>
          <xdr:colOff>603250</xdr:colOff>
          <xdr:row>7</xdr:row>
          <xdr:rowOff>127000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C5F8D-1602-4C58-A5ED-1A5844DB1EF7}">
  <sheetPr codeName="Sheet1"/>
  <dimension ref="A1:P19"/>
  <sheetViews>
    <sheetView workbookViewId="0">
      <selection activeCell="P14" sqref="P14"/>
    </sheetView>
  </sheetViews>
  <sheetFormatPr defaultRowHeight="14.5" x14ac:dyDescent="0.35"/>
  <cols>
    <col min="1" max="1" width="8.7265625" style="18"/>
    <col min="2" max="2" width="9.7265625" style="18" bestFit="1" customWidth="1"/>
    <col min="3" max="3" width="8.7265625" style="18"/>
    <col min="4" max="4" width="9.1796875" style="18" bestFit="1" customWidth="1"/>
    <col min="5" max="5" width="8.7265625" style="18"/>
    <col min="6" max="6" width="9.54296875" style="18" bestFit="1" customWidth="1"/>
    <col min="7" max="7" width="8.7265625" style="18"/>
    <col min="8" max="8" width="10.7265625" style="18" bestFit="1" customWidth="1"/>
    <col min="9" max="9" width="8.7265625" style="18"/>
    <col min="10" max="10" width="10.08984375" style="18" bestFit="1" customWidth="1"/>
    <col min="11" max="11" width="8.7265625" style="18"/>
    <col min="12" max="12" width="9.54296875" style="18" bestFit="1" customWidth="1"/>
    <col min="13" max="13" width="9" style="18" bestFit="1" customWidth="1"/>
    <col min="14" max="14" width="9.54296875" style="18" bestFit="1" customWidth="1"/>
    <col min="15" max="15" width="13.7265625" style="18" bestFit="1" customWidth="1"/>
    <col min="16" max="16" width="11.453125" style="18" customWidth="1"/>
    <col min="17" max="20" width="8.7265625" style="18" customWidth="1"/>
    <col min="21" max="16384" width="8.7265625" style="18"/>
  </cols>
  <sheetData>
    <row r="1" spans="1:16" ht="16" thickBot="1" x14ac:dyDescent="0.4">
      <c r="A1" s="55" t="s">
        <v>52</v>
      </c>
      <c r="B1" s="55"/>
      <c r="C1" s="55"/>
      <c r="D1" s="55"/>
      <c r="E1" s="55"/>
      <c r="F1" s="55"/>
      <c r="G1" s="55"/>
      <c r="H1" s="55"/>
      <c r="I1" s="55"/>
      <c r="J1" s="56"/>
      <c r="K1" s="59" t="s">
        <v>189</v>
      </c>
      <c r="L1" s="60"/>
      <c r="M1" s="57" t="s">
        <v>69</v>
      </c>
      <c r="N1" s="58"/>
      <c r="O1" s="61" t="s">
        <v>70</v>
      </c>
      <c r="P1" s="62"/>
    </row>
    <row r="2" spans="1:16" x14ac:dyDescent="0.35">
      <c r="A2" s="20" t="s">
        <v>0</v>
      </c>
      <c r="B2" s="21" t="str">
        <f>IF('Set-Up Cache'!A1&lt;&gt;0,'Set-Up Cache'!A1,"")</f>
        <v>hserthar</v>
      </c>
      <c r="C2" s="20" t="s">
        <v>1</v>
      </c>
      <c r="D2" s="21" t="str">
        <f>IF('Set-Up Cache'!A11&lt;&gt;0,'Set-Up Cache'!A11,"")</f>
        <v>krystgui</v>
      </c>
      <c r="E2" s="20" t="s">
        <v>2</v>
      </c>
      <c r="F2" s="21" t="str">
        <f>IF('Set-Up Cache'!A21&lt;&gt;0,'Set-Up Cache'!A21,"")</f>
        <v>eyvodeni</v>
      </c>
      <c r="G2" s="20" t="s">
        <v>3</v>
      </c>
      <c r="H2" s="21" t="str">
        <f>IF('Set-Up Cache'!A33&lt;&gt;0,'Set-Up Cache'!A33,"")</f>
        <v>klausska</v>
      </c>
      <c r="I2" s="22" t="s">
        <v>4</v>
      </c>
      <c r="J2" s="23" t="str">
        <f>IF('Set-Up Cache'!A45&lt;&gt;0,'Set-Up Cache'!A45,"")</f>
        <v>jeteyahn</v>
      </c>
      <c r="K2" s="24" t="str">
        <f>IF('Set-Up Cache'!A53&lt;&gt;0,'Set-Up Cache'!A53, "")</f>
        <v>brianiwi</v>
      </c>
      <c r="L2" s="21" t="str">
        <f>IF('Set-Up Cache'!A71&lt;&gt;0,'Set-Up Cache'!A71,"")</f>
        <v>denngorn</v>
      </c>
      <c r="M2" s="25" t="s">
        <v>53</v>
      </c>
      <c r="N2" s="26"/>
      <c r="O2" s="27" t="s">
        <v>62</v>
      </c>
      <c r="P2" s="26"/>
    </row>
    <row r="3" spans="1:16" x14ac:dyDescent="0.35">
      <c r="A3" s="36" t="s">
        <v>5</v>
      </c>
      <c r="B3" s="37" t="str">
        <f>IF('Set-Up Cache'!A2&lt;&gt;0,'Set-Up Cache'!A2,"")</f>
        <v>subaprc</v>
      </c>
      <c r="C3" s="36" t="s">
        <v>14</v>
      </c>
      <c r="D3" s="37" t="e">
        <f>IF('Set-Up Cache'!#REF!&lt;&gt;0,'Set-Up Cache'!#REF!,"")</f>
        <v>#REF!</v>
      </c>
      <c r="E3" s="36" t="s">
        <v>23</v>
      </c>
      <c r="F3" s="37" t="str">
        <f>IF('Set-Up Cache'!A22&lt;&gt;0,'Set-Up Cache'!A22,"")</f>
        <v>kpotnich</v>
      </c>
      <c r="G3" s="36" t="s">
        <v>34</v>
      </c>
      <c r="H3" s="37" t="str">
        <f>IF('Set-Up Cache'!A34&lt;&gt;0,'Set-Up Cache'!A34,"")</f>
        <v>mccuudan</v>
      </c>
      <c r="I3" s="38" t="s">
        <v>45</v>
      </c>
      <c r="J3" s="39" t="str">
        <f>IF('Set-Up Cache'!A46&lt;&gt;0,'Set-Up Cache'!A46,"")</f>
        <v>kathpres</v>
      </c>
      <c r="K3" s="40" t="str">
        <f>IF('Set-Up Cache'!A54&lt;&gt;0,'Set-Up Cache'!A54, "")</f>
        <v>icollieg</v>
      </c>
      <c r="L3" s="37" t="str">
        <f>IF('Set-Up Cache'!A72&lt;&gt;0,'Set-Up Cache'!A72,"")</f>
        <v>mankini</v>
      </c>
      <c r="M3" s="38" t="s">
        <v>54</v>
      </c>
      <c r="N3" s="37"/>
      <c r="O3" s="36" t="s">
        <v>63</v>
      </c>
      <c r="P3" s="37"/>
    </row>
    <row r="4" spans="1:16" x14ac:dyDescent="0.35">
      <c r="A4" s="28" t="s">
        <v>6</v>
      </c>
      <c r="B4" s="29" t="str">
        <f>IF('Set-Up Cache'!A3&lt;&gt;0,'Set-Up Cache'!A3,"")</f>
        <v>tasjanpo</v>
      </c>
      <c r="C4" s="28" t="s">
        <v>15</v>
      </c>
      <c r="D4" s="29" t="str">
        <f>IF('Set-Up Cache'!A13&lt;&gt;0,'Set-Up Cache'!A13,"")</f>
        <v>ullwilso</v>
      </c>
      <c r="E4" s="28" t="s">
        <v>24</v>
      </c>
      <c r="F4" s="29" t="str">
        <f>IF('Set-Up Cache'!A23&lt;&gt;0,'Set-Up Cache'!A23,"")</f>
        <v>boldedo</v>
      </c>
      <c r="G4" s="28" t="s">
        <v>35</v>
      </c>
      <c r="H4" s="29" t="str">
        <f>IF('Set-Up Cache'!A35&lt;&gt;0,'Set-Up Cache'!A35,"")</f>
        <v>paroccor</v>
      </c>
      <c r="I4" s="30" t="s">
        <v>46</v>
      </c>
      <c r="J4" s="31" t="str">
        <f>IF('Set-Up Cache'!A47&lt;&gt;0,'Set-Up Cache'!A47,"")</f>
        <v>shcostlo</v>
      </c>
      <c r="K4" s="32" t="str">
        <f>IF('Set-Up Cache'!A55&lt;&gt;0,'Set-Up Cache'!A55, "")</f>
        <v>ashricej</v>
      </c>
      <c r="L4" s="29" t="str">
        <f>IF('Set-Up Cache'!A73&lt;&gt;0,'Set-Up Cache'!A73,"")</f>
        <v>arletyd</v>
      </c>
      <c r="M4" s="30" t="s">
        <v>55</v>
      </c>
      <c r="N4" s="29"/>
      <c r="O4" s="28" t="s">
        <v>61</v>
      </c>
      <c r="P4" s="29"/>
    </row>
    <row r="5" spans="1:16" x14ac:dyDescent="0.35">
      <c r="A5" s="36" t="s">
        <v>7</v>
      </c>
      <c r="B5" s="37" t="e">
        <f>IF('Set-Up Cache'!#REF!&lt;&gt;0,'Set-Up Cache'!#REF!,"")</f>
        <v>#REF!</v>
      </c>
      <c r="C5" s="36" t="s">
        <v>16</v>
      </c>
      <c r="D5" s="37" t="str">
        <f>IF('Set-Up Cache'!A14&lt;&gt;0,'Set-Up Cache'!A14,"")</f>
        <v>hmilleda</v>
      </c>
      <c r="E5" s="36" t="s">
        <v>25</v>
      </c>
      <c r="F5" s="37" t="str">
        <f>IF('Set-Up Cache'!A24&lt;&gt;0,'Set-Up Cache'!A24,"")</f>
        <v>jstephaw</v>
      </c>
      <c r="G5" s="36" t="s">
        <v>36</v>
      </c>
      <c r="H5" s="37" t="str">
        <f>IF('Set-Up Cache'!A36&lt;&gt;0,'Set-Up Cache'!A36,"")</f>
        <v>clashmwi</v>
      </c>
      <c r="I5" s="38" t="s">
        <v>47</v>
      </c>
      <c r="J5" s="39" t="str">
        <f>IF('Set-Up Cache'!A48&lt;&gt;0,'Set-Up Cache'!A48,"")</f>
        <v>bahahash</v>
      </c>
      <c r="K5" s="40" t="str">
        <f>IF('Set-Up Cache'!A56&lt;&gt;0,'Set-Up Cache'!A56, "")</f>
        <v>yrivarry</v>
      </c>
      <c r="L5" s="37" t="str">
        <f>IF('Set-Up Cache'!A74&lt;&gt;0,'Set-Up Cache'!A74,"")</f>
        <v>meggaduk</v>
      </c>
      <c r="M5" s="38" t="s">
        <v>56</v>
      </c>
      <c r="N5" s="37"/>
      <c r="O5" s="36" t="s">
        <v>192</v>
      </c>
      <c r="P5" s="37"/>
    </row>
    <row r="6" spans="1:16" x14ac:dyDescent="0.35">
      <c r="A6" s="28" t="s">
        <v>8</v>
      </c>
      <c r="B6" s="29" t="str">
        <f>IF('Set-Up Cache'!A5&lt;&gt;0,'Set-Up Cache'!A5,"")</f>
        <v>sixemily</v>
      </c>
      <c r="C6" s="28" t="s">
        <v>17</v>
      </c>
      <c r="D6" s="29" t="str">
        <f>IF('Set-Up Cache'!$A$15&lt;&gt;0,'Set-Up Cache'!$A$15,"")</f>
        <v>bobbicas</v>
      </c>
      <c r="E6" s="28" t="s">
        <v>26</v>
      </c>
      <c r="F6" s="29" t="str">
        <f>IF('Set-Up Cache'!A25&lt;&gt;0,'Set-Up Cache'!A25,"")</f>
        <v>balojosh</v>
      </c>
      <c r="G6" s="28" t="s">
        <v>37</v>
      </c>
      <c r="H6" s="29" t="str">
        <f>IF('Set-Up Cache'!A37&lt;&gt;0,'Set-Up Cache'!A37,"")</f>
        <v>xtrtaylo</v>
      </c>
      <c r="I6" s="30" t="s">
        <v>48</v>
      </c>
      <c r="J6" s="31" t="str">
        <f>IF('Set-Up Cache'!A49&lt;&gt;0,'Set-Up Cache'!A49,"")</f>
        <v>fatular</v>
      </c>
      <c r="K6" s="32" t="str">
        <f>IF('Set-Up Cache'!A57&lt;&gt;0,'Set-Up Cache'!A57, "")</f>
        <v>chaseeli</v>
      </c>
      <c r="L6" s="29" t="str">
        <f>IF('Set-Up Cache'!A75&lt;&gt;0,'Set-Up Cache'!A75,"")</f>
        <v>upierran</v>
      </c>
      <c r="M6" s="33" t="s">
        <v>57</v>
      </c>
      <c r="N6" s="34"/>
      <c r="O6" s="35" t="s">
        <v>193</v>
      </c>
      <c r="P6" s="34"/>
    </row>
    <row r="7" spans="1:16" ht="15" thickBot="1" x14ac:dyDescent="0.4">
      <c r="A7" s="36" t="s">
        <v>9</v>
      </c>
      <c r="B7" s="37" t="str">
        <f>IF('Set-Up Cache'!A6&lt;&gt;0,'Set-Up Cache'!A6,"")</f>
        <v>zlebentz</v>
      </c>
      <c r="C7" s="36" t="s">
        <v>18</v>
      </c>
      <c r="D7" s="37" t="str">
        <f>IF('Set-Up Cache'!A16&lt;&gt;0,'Set-Up Cache'!A16,"")</f>
        <v>rickeyk</v>
      </c>
      <c r="E7" s="36" t="s">
        <v>27</v>
      </c>
      <c r="F7" s="37" t="str">
        <f>IF('Set-Up Cache'!A26&lt;&gt;0,'Set-Up Cache'!A26,"")</f>
        <v>linlemas</v>
      </c>
      <c r="G7" s="36" t="s">
        <v>38</v>
      </c>
      <c r="H7" s="37" t="str">
        <f>IF('Set-Up Cache'!A38&lt;&gt;0,'Set-Up Cache'!A38,"")</f>
        <v>dnirizar</v>
      </c>
      <c r="I7" s="38" t="s">
        <v>49</v>
      </c>
      <c r="J7" s="39" t="str">
        <f>IF('Set-Up Cache'!A50&lt;&gt;0,'Set-Up Cache'!A50,"")</f>
        <v>friseliz</v>
      </c>
      <c r="K7" s="40" t="str">
        <f>IF('Set-Up Cache'!A58&lt;&gt;0,'Set-Up Cache'!A58, "")</f>
        <v>kermcclu</v>
      </c>
      <c r="L7" s="37" t="str">
        <f>IF('Set-Up Cache'!A76&lt;&gt;0,'Set-Up Cache'!A76,"")</f>
        <v>pethtros</v>
      </c>
      <c r="M7" s="41" t="s">
        <v>58</v>
      </c>
      <c r="N7" s="42"/>
      <c r="O7" s="43" t="s">
        <v>641</v>
      </c>
      <c r="P7" s="44"/>
    </row>
    <row r="8" spans="1:16" x14ac:dyDescent="0.35">
      <c r="A8" s="28" t="s">
        <v>10</v>
      </c>
      <c r="B8" s="29" t="str">
        <f>IF('Set-Up Cache'!A7&lt;&gt;0,'Set-Up Cache'!A7,"")</f>
        <v>lemastdy</v>
      </c>
      <c r="C8" s="28" t="s">
        <v>19</v>
      </c>
      <c r="D8" s="29" t="str">
        <f>IF('Set-Up Cache'!A17&lt;&gt;0,'Set-Up Cache'!A17,"")</f>
        <v>vbhandak</v>
      </c>
      <c r="E8" s="28" t="s">
        <v>28</v>
      </c>
      <c r="F8" s="29" t="str">
        <f>IF('Set-Up Cache'!A27&lt;&gt;0,'Set-Up Cache'!A27,"")</f>
        <v>zacdmilk</v>
      </c>
      <c r="G8" s="28" t="s">
        <v>39</v>
      </c>
      <c r="H8" s="29" t="str">
        <f>IF('Set-Up Cache'!A39&lt;&gt;0,'Set-Up Cache'!A39,"")</f>
        <v>otkarenh</v>
      </c>
      <c r="I8" s="30" t="s">
        <v>50</v>
      </c>
      <c r="J8" s="31" t="str">
        <f>IF('Set-Up Cache'!A51&lt;&gt;0,'Set-Up Cache'!A51,"")</f>
        <v>cokoltio</v>
      </c>
      <c r="K8" s="32" t="str">
        <f>IF('Set-Up Cache'!A59&lt;&gt;0,'Set-Up Cache'!A59, "")</f>
        <v>acardebo</v>
      </c>
      <c r="L8" s="29" t="str">
        <f>IF('Set-Up Cache'!A77&lt;&gt;0,'Set-Up Cache'!A77,"")</f>
        <v>romieua</v>
      </c>
      <c r="M8" s="25" t="s">
        <v>196</v>
      </c>
      <c r="N8" s="26"/>
    </row>
    <row r="9" spans="1:16" ht="15" thickBot="1" x14ac:dyDescent="0.4">
      <c r="A9" s="36" t="s">
        <v>11</v>
      </c>
      <c r="B9" s="37" t="str">
        <f>IF('Set-Up Cache'!A8&lt;&gt;0,'Set-Up Cache'!A8,"")</f>
        <v>emilesal</v>
      </c>
      <c r="C9" s="36" t="s">
        <v>20</v>
      </c>
      <c r="D9" s="37" t="str">
        <f>IF('Set-Up Cache'!A18&lt;&gt;0,'Set-Up Cache'!A18,"")</f>
        <v>kamimack</v>
      </c>
      <c r="E9" s="36" t="s">
        <v>29</v>
      </c>
      <c r="F9" s="37" t="str">
        <f>IF('Set-Up Cache'!A28&lt;&gt;0,'Set-Up Cache'!A28,"")</f>
        <v>ukiddhea</v>
      </c>
      <c r="G9" s="36" t="s">
        <v>40</v>
      </c>
      <c r="H9" s="37" t="str">
        <f>IF('Set-Up Cache'!A40&lt;&gt;0,'Set-Up Cache'!A40,"")</f>
        <v>wihoffma</v>
      </c>
      <c r="I9" s="45" t="s">
        <v>51</v>
      </c>
      <c r="J9" s="46" t="str">
        <f>IF('Set-Up Cache'!A52&lt;&gt;0,'Set-Up Cache'!A52,"")</f>
        <v>raferrie</v>
      </c>
      <c r="K9" s="40" t="str">
        <f>IF('Set-Up Cache'!A60&lt;&gt;0,'Set-Up Cache'!A60, "")</f>
        <v>ileskati</v>
      </c>
      <c r="L9" s="37" t="str">
        <f>IF('Set-Up Cache'!A78&lt;&gt;0,'Set-Up Cache'!A78,"")</f>
        <v>guilldes</v>
      </c>
      <c r="M9" s="38" t="s">
        <v>195</v>
      </c>
      <c r="N9" s="37"/>
    </row>
    <row r="10" spans="1:16" x14ac:dyDescent="0.35">
      <c r="A10" s="28" t="s">
        <v>12</v>
      </c>
      <c r="B10" s="29" t="str">
        <f>IF('Set-Up Cache'!$A$9&lt;&gt;0,'Set-Up Cache'!$A$9,"")</f>
        <v>monbrani</v>
      </c>
      <c r="C10" s="28" t="s">
        <v>21</v>
      </c>
      <c r="D10" s="29" t="str">
        <f>IF('Set-Up Cache'!A19&lt;&gt;0,'Set-Up Cache'!A19,"")</f>
        <v>azaniesk</v>
      </c>
      <c r="E10" s="28" t="s">
        <v>30</v>
      </c>
      <c r="F10" s="29" t="str">
        <f>IF('Set-Up Cache'!A29&lt;&gt;0,'Set-Up Cache'!A29,"")</f>
        <v>amywbalo</v>
      </c>
      <c r="G10" s="28" t="s">
        <v>41</v>
      </c>
      <c r="H10" s="29" t="str">
        <f>IF('Set-Up Cache'!A41&lt;&gt;0,'Set-Up Cache'!A41,"")</f>
        <v>batebruc</v>
      </c>
      <c r="K10" s="32" t="str">
        <f>IF('Set-Up Cache'!A61&lt;&gt;0,'Set-Up Cache'!A61, "")</f>
        <v>crawyaty</v>
      </c>
      <c r="L10" s="29" t="str">
        <f>IF('Set-Up Cache'!A79&lt;&gt;0,'Set-Up Cache'!A79,"")</f>
        <v>ferrrebe</v>
      </c>
      <c r="M10" s="30" t="s">
        <v>59</v>
      </c>
      <c r="N10" s="29"/>
    </row>
    <row r="11" spans="1:16" ht="15" thickBot="1" x14ac:dyDescent="0.4">
      <c r="A11" s="47" t="s">
        <v>13</v>
      </c>
      <c r="B11" s="48" t="str">
        <f>IF('Set-Up Cache'!A10&lt;&gt;0,'Set-Up Cache'!A10,"")</f>
        <v>khuannie</v>
      </c>
      <c r="C11" s="47" t="s">
        <v>22</v>
      </c>
      <c r="D11" s="48" t="str">
        <f>IF('Set-Up Cache'!A20&lt;&gt;0,'Set-Up Cache'!A20,"")</f>
        <v>kellhupp</v>
      </c>
      <c r="E11" s="36" t="s">
        <v>31</v>
      </c>
      <c r="F11" s="37" t="str">
        <f>IF('Set-Up Cache'!A30&lt;&gt;0,'Set-Up Cache'!A30,"")</f>
        <v>frazchrk</v>
      </c>
      <c r="G11" s="36" t="s">
        <v>42</v>
      </c>
      <c r="H11" s="37" t="str">
        <f>IF('Set-Up Cache'!A42&lt;&gt;0,'Set-Up Cache'!A42,"")</f>
        <v>guamacin</v>
      </c>
      <c r="K11" s="40" t="str">
        <f>IF('Set-Up Cache'!A62&lt;&gt;0,'Set-Up Cache'!A62, "")</f>
        <v>kathltoo</v>
      </c>
      <c r="L11" s="37" t="str">
        <f>IF('Set-Up Cache'!A80&lt;&gt;0,'Set-Up Cache'!A80,"")</f>
        <v>meddlesn</v>
      </c>
      <c r="M11" s="38" t="s">
        <v>64</v>
      </c>
      <c r="N11" s="37" t="s">
        <v>559</v>
      </c>
    </row>
    <row r="12" spans="1:16" x14ac:dyDescent="0.35">
      <c r="E12" s="28" t="s">
        <v>32</v>
      </c>
      <c r="F12" s="29" t="str">
        <f>IF('Set-Up Cache'!A31&lt;&gt;0,'Set-Up Cache'!A31,"")</f>
        <v>guyvenoe</v>
      </c>
      <c r="G12" s="28" t="s">
        <v>43</v>
      </c>
      <c r="H12" s="29" t="str">
        <f>IF('Set-Up Cache'!A43&lt;&gt;0,'Set-Up Cache'!A43,"")</f>
        <v>judsagro</v>
      </c>
      <c r="K12" s="32" t="str">
        <f>IF('Set-Up Cache'!A63&lt;&gt;0,'Set-Up Cache'!A63, "")</f>
        <v>smashlev</v>
      </c>
      <c r="L12" s="29" t="str">
        <f>IF('Set-Up Cache'!A81&lt;&gt;0,'Set-Up Cache'!A81,"")</f>
        <v>sivemicb</v>
      </c>
      <c r="M12" s="30" t="s">
        <v>65</v>
      </c>
      <c r="N12" s="29" t="s">
        <v>251</v>
      </c>
    </row>
    <row r="13" spans="1:16" ht="15" thickBot="1" x14ac:dyDescent="0.4">
      <c r="E13" s="47" t="s">
        <v>33</v>
      </c>
      <c r="F13" s="48" t="str">
        <f>IF('Set-Up Cache'!A32&lt;&gt;0,'Set-Up Cache'!A32,"")</f>
        <v>ehlandlr</v>
      </c>
      <c r="G13" s="47" t="s">
        <v>44</v>
      </c>
      <c r="H13" s="48" t="str">
        <f>IF('Set-Up Cache'!A44&lt;&gt;0,'Set-Up Cache'!A44,"")</f>
        <v>vrfabian</v>
      </c>
      <c r="K13" s="40" t="str">
        <f>IF('Set-Up Cache'!A64&lt;&gt;0,'Set-Up Cache'!A64, "")</f>
        <v>gallaema</v>
      </c>
      <c r="L13" s="37" t="str">
        <f>IF('Set-Up Cache'!A82&lt;&gt;0,'Set-Up Cache'!A82,"")</f>
        <v>curtjena</v>
      </c>
      <c r="M13" s="38" t="s">
        <v>190</v>
      </c>
      <c r="N13" s="37"/>
    </row>
    <row r="14" spans="1:16" x14ac:dyDescent="0.35">
      <c r="K14" s="32" t="str">
        <f>IF('Set-Up Cache'!A65&lt;&gt;0,'Set-Up Cache'!A65, "")</f>
        <v>thereeln</v>
      </c>
      <c r="L14" s="29" t="str">
        <f>IF('Set-Up Cache'!$A$83&lt;&gt;0,'Set-Up Cache'!$A$83,"")</f>
        <v>piernoep</v>
      </c>
      <c r="M14" s="30" t="s">
        <v>191</v>
      </c>
      <c r="N14" s="29"/>
    </row>
    <row r="15" spans="1:16" x14ac:dyDescent="0.35">
      <c r="K15" s="40" t="str">
        <f>IF('Set-Up Cache'!A66&lt;&gt;0,'Set-Up Cache'!A66, "")</f>
        <v>janamise</v>
      </c>
      <c r="L15" s="37" t="str">
        <f>IF('Set-Up Cache'!$A$84&lt;&gt;0,'Set-Up Cache'!$A$84,"")</f>
        <v>jmceldow</v>
      </c>
      <c r="M15" s="38" t="s">
        <v>194</v>
      </c>
      <c r="N15" s="37"/>
    </row>
    <row r="16" spans="1:16" x14ac:dyDescent="0.35">
      <c r="K16" s="32" t="str">
        <f>IF('Set-Up Cache'!A67&lt;&gt;0,'Set-Up Cache'!A67, "")</f>
        <v>tchiffja</v>
      </c>
      <c r="L16" s="29" t="str">
        <f>IF('Set-Up Cache'!$A$85&lt;&gt;0,'Set-Up Cache'!$A$85,"")</f>
        <v>crabgerd</v>
      </c>
      <c r="M16" s="30" t="s">
        <v>67</v>
      </c>
      <c r="N16" s="29"/>
    </row>
    <row r="17" spans="11:14" x14ac:dyDescent="0.35">
      <c r="K17" s="40" t="str">
        <f>IF('Set-Up Cache'!A68&lt;&gt;0,'Set-Up Cache'!A68, "")</f>
        <v>wmeralex</v>
      </c>
      <c r="L17" s="37" t="str">
        <f>IF('Set-Up Cache'!$A$86&lt;&gt;0,'Set-Up Cache'!$A$86,"")</f>
        <v>ayremary</v>
      </c>
      <c r="M17" s="38" t="s">
        <v>67</v>
      </c>
      <c r="N17" s="37"/>
    </row>
    <row r="18" spans="11:14" x14ac:dyDescent="0.35">
      <c r="K18" s="32" t="str">
        <f>IF('Set-Up Cache'!A69&lt;&gt;0,'Set-Up Cache'!A69, "")</f>
        <v>gsstarr</v>
      </c>
      <c r="L18" s="29" t="e">
        <f>IF('Set-Up Cache'!#REF!&lt;&gt;0,'Set-Up Cache'!#REF!,"")</f>
        <v>#REF!</v>
      </c>
      <c r="M18" s="30" t="s">
        <v>68</v>
      </c>
      <c r="N18" s="29"/>
    </row>
    <row r="19" spans="11:14" ht="15" thickBot="1" x14ac:dyDescent="0.4">
      <c r="K19" s="49" t="str">
        <f>IF('Set-Up Cache'!A70&lt;&gt;0,'Set-Up Cache'!A70, "")</f>
        <v>braandeg</v>
      </c>
      <c r="L19" s="48" t="e">
        <f>IF('Set-Up Cache'!#REF!&lt;&gt;0,'Set-Up Cache'!#REF!,"")</f>
        <v>#REF!</v>
      </c>
      <c r="M19" s="45" t="s">
        <v>68</v>
      </c>
      <c r="N19" s="48"/>
    </row>
  </sheetData>
  <mergeCells count="4">
    <mergeCell ref="A1:J1"/>
    <mergeCell ref="M1:N1"/>
    <mergeCell ref="K1:L1"/>
    <mergeCell ref="O1:P1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heet7.Randomize">
                <anchor moveWithCells="1" sizeWithCells="1">
                  <from>
                    <xdr:col>14</xdr:col>
                    <xdr:colOff>298450</xdr:colOff>
                    <xdr:row>7</xdr:row>
                    <xdr:rowOff>171450</xdr:rowOff>
                  </from>
                  <to>
                    <xdr:col>15</xdr:col>
                    <xdr:colOff>749300</xdr:colOff>
                    <xdr:row>10</xdr:row>
                    <xdr:rowOff>44450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614B1529-4A3D-4FC8-9CB2-32A129E4025E}">
          <x14:formula1>
            <xm:f>Selections!A2:A50</xm:f>
          </x14:formula1>
          <xm:sqref>N2:N5 P2</xm:sqref>
        </x14:dataValidation>
        <x14:dataValidation type="list" allowBlank="1" showInputMessage="1" showErrorMessage="1" xr:uid="{94659572-1820-4513-B411-8A2739266255}">
          <x14:formula1>
            <xm:f>Selections!B2:B50</xm:f>
          </x14:formula1>
          <xm:sqref>N6 P6</xm:sqref>
        </x14:dataValidation>
        <x14:dataValidation type="list" allowBlank="1" showInputMessage="1" showErrorMessage="1" xr:uid="{6A82EF81-2A0F-4103-9EEA-028F8DD21B21}">
          <x14:formula1>
            <xm:f>Selections!B2:B50</xm:f>
          </x14:formula1>
          <xm:sqref>N7</xm:sqref>
        </x14:dataValidation>
        <x14:dataValidation type="list" allowBlank="1" showInputMessage="1" showErrorMessage="1" xr:uid="{8ADB9F8F-03D0-4146-93D4-B20FC7EB1FCD}">
          <x14:formula1>
            <xm:f>Selections!B2:B50</xm:f>
          </x14:formula1>
          <xm:sqref>P3</xm:sqref>
        </x14:dataValidation>
        <x14:dataValidation type="list" allowBlank="1" showInputMessage="1" showErrorMessage="1" xr:uid="{BB88C241-3401-4E2E-807A-9020A6C4DB2A}">
          <x14:formula1>
            <xm:f>SSPOT!B2:B100</xm:f>
          </x14:formula1>
          <xm:sqref>N16</xm:sqref>
        </x14:dataValidation>
        <x14:dataValidation type="list" allowBlank="1" showInputMessage="1" showErrorMessage="1" xr:uid="{E936DB42-5257-4AF9-988B-DECC79B8E535}">
          <x14:formula1>
            <xm:f>SSPOT!B2:B100</xm:f>
          </x14:formula1>
          <xm:sqref>N17</xm:sqref>
        </x14:dataValidation>
        <x14:dataValidation type="list" allowBlank="1" showInputMessage="1" showErrorMessage="1" xr:uid="{B77171FD-59B9-44F4-81AA-A6A3B98AD2B2}">
          <x14:formula1>
            <xm:f>Selections!C2:C50</xm:f>
          </x14:formula1>
          <xm:sqref>N13:N14</xm:sqref>
        </x14:dataValidation>
        <x14:dataValidation type="list" allowBlank="1" showInputMessage="1" showErrorMessage="1" xr:uid="{EB916104-0D7D-4E44-A66B-EF034762E101}">
          <x14:formula1>
            <xm:f>Selections!C2:C50</xm:f>
          </x14:formula1>
          <xm:sqref>P5</xm:sqref>
        </x14:dataValidation>
        <x14:dataValidation type="list" allowBlank="1" showInputMessage="1" showErrorMessage="1" xr:uid="{82DF22E8-C0C8-4586-88BB-15AB2092DF83}">
          <x14:formula1>
            <xm:f>Selections!D2:D50</xm:f>
          </x14:formula1>
          <xm:sqref>N15</xm:sqref>
        </x14:dataValidation>
        <x14:dataValidation type="list" allowBlank="1" showInputMessage="1" showErrorMessage="1" xr:uid="{801264F6-943D-4072-B37E-3B09F344F131}">
          <x14:formula1>
            <xm:f>Selections!F2:F50</xm:f>
          </x14:formula1>
          <xm:sqref>P4</xm:sqref>
        </x14:dataValidation>
        <x14:dataValidation type="list" allowBlank="1" showInputMessage="1" showErrorMessage="1" xr:uid="{B78287F0-6557-439C-8394-7FCA4C0F062D}">
          <x14:formula1>
            <xm:f>SSPOT!B2:B100</xm:f>
          </x14:formula1>
          <xm:sqref>N11</xm:sqref>
        </x14:dataValidation>
        <x14:dataValidation type="list" allowBlank="1" showInputMessage="1" showErrorMessage="1" xr:uid="{1FF135A2-296A-496D-8629-D364713EB962}">
          <x14:formula1>
            <xm:f>SSPOT!B2:B100</xm:f>
          </x14:formula1>
          <xm:sqref>N12</xm:sqref>
        </x14:dataValidation>
        <x14:dataValidation type="list" allowBlank="1" showInputMessage="1" showErrorMessage="1" xr:uid="{C42C04FA-DDE7-491A-B394-9FB19DA44B10}">
          <x14:formula1>
            <xm:f>Selections!E2:E50</xm:f>
          </x14:formula1>
          <xm:sqref>N8:N9</xm:sqref>
        </x14:dataValidation>
        <x14:dataValidation type="list" allowBlank="1" showInputMessage="1" showErrorMessage="1" xr:uid="{C98CD20B-8FB8-4201-A7CE-B045ADE21A90}">
          <x14:formula1>
            <xm:f>Selections!G2:G50</xm:f>
          </x14:formula1>
          <xm:sqref>N10</xm:sqref>
        </x14:dataValidation>
        <x14:dataValidation type="list" allowBlank="1" showInputMessage="1" showErrorMessage="1" xr:uid="{C5527960-0D2A-4681-A815-C95D1C5BCEC4}">
          <x14:formula1>
            <xm:f>Selections!I2:I50</xm:f>
          </x14:formula1>
          <xm:sqref>N18:N19</xm:sqref>
        </x14:dataValidation>
        <x14:dataValidation type="list" allowBlank="1" showInputMessage="1" showErrorMessage="1" xr:uid="{EB6E28F8-63BB-44F2-BD6B-EB75A2402ABC}">
          <x14:formula1>
            <xm:f>Selections!H2:H50</xm:f>
          </x14:formula1>
          <xm:sqref>P7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7EEA-C94E-421E-8677-373882662D61}">
  <sheetPr codeName="Sheet7"/>
  <dimension ref="A1:M87"/>
  <sheetViews>
    <sheetView workbookViewId="0">
      <selection activeCell="G9" sqref="G9"/>
    </sheetView>
  </sheetViews>
  <sheetFormatPr defaultRowHeight="14.5" x14ac:dyDescent="0.35"/>
  <cols>
    <col min="11" max="11" width="9" bestFit="1" customWidth="1"/>
    <col min="13" max="13" width="9.54296875" bestFit="1" customWidth="1"/>
  </cols>
  <sheetData>
    <row r="1" spans="1:13" x14ac:dyDescent="0.35">
      <c r="A1" t="s">
        <v>612</v>
      </c>
      <c r="D1" t="s">
        <v>637</v>
      </c>
      <c r="E1" t="s">
        <v>638</v>
      </c>
      <c r="F1" t="s">
        <v>639</v>
      </c>
      <c r="G1" t="s">
        <v>59</v>
      </c>
      <c r="H1" t="s">
        <v>636</v>
      </c>
      <c r="I1" t="s">
        <v>640</v>
      </c>
      <c r="J1" t="s">
        <v>194</v>
      </c>
      <c r="K1" t="s">
        <v>67</v>
      </c>
      <c r="L1" t="s">
        <v>68</v>
      </c>
      <c r="M1" t="s">
        <v>641</v>
      </c>
    </row>
    <row r="2" spans="1:13" x14ac:dyDescent="0.35">
      <c r="A2" t="s">
        <v>223</v>
      </c>
      <c r="H2" t="s">
        <v>251</v>
      </c>
    </row>
    <row r="3" spans="1:13" x14ac:dyDescent="0.35">
      <c r="A3" t="s">
        <v>283</v>
      </c>
      <c r="H3" t="s">
        <v>559</v>
      </c>
    </row>
    <row r="4" spans="1:13" x14ac:dyDescent="0.35">
      <c r="A4" t="s">
        <v>291</v>
      </c>
    </row>
    <row r="5" spans="1:13" x14ac:dyDescent="0.35">
      <c r="A5" t="s">
        <v>226</v>
      </c>
    </row>
    <row r="6" spans="1:13" x14ac:dyDescent="0.35">
      <c r="A6" t="s">
        <v>498</v>
      </c>
    </row>
    <row r="7" spans="1:13" x14ac:dyDescent="0.35">
      <c r="A7" t="s">
        <v>258</v>
      </c>
    </row>
    <row r="8" spans="1:13" x14ac:dyDescent="0.35">
      <c r="A8" t="s">
        <v>534</v>
      </c>
    </row>
    <row r="9" spans="1:13" x14ac:dyDescent="0.35">
      <c r="A9" t="s">
        <v>264</v>
      </c>
    </row>
    <row r="10" spans="1:13" x14ac:dyDescent="0.35">
      <c r="A10" t="s">
        <v>182</v>
      </c>
    </row>
    <row r="11" spans="1:13" x14ac:dyDescent="0.35">
      <c r="A11" t="s">
        <v>214</v>
      </c>
    </row>
    <row r="12" spans="1:13" x14ac:dyDescent="0.35">
      <c r="A12" t="s">
        <v>237</v>
      </c>
    </row>
    <row r="13" spans="1:13" x14ac:dyDescent="0.35">
      <c r="A13" t="s">
        <v>235</v>
      </c>
    </row>
    <row r="14" spans="1:13" x14ac:dyDescent="0.35">
      <c r="A14" t="s">
        <v>466</v>
      </c>
    </row>
    <row r="15" spans="1:13" x14ac:dyDescent="0.35">
      <c r="A15" t="s">
        <v>265</v>
      </c>
    </row>
    <row r="16" spans="1:13" x14ac:dyDescent="0.35">
      <c r="A16" t="s">
        <v>568</v>
      </c>
    </row>
    <row r="17" spans="1:1" x14ac:dyDescent="0.35">
      <c r="A17" t="s">
        <v>570</v>
      </c>
    </row>
    <row r="18" spans="1:1" x14ac:dyDescent="0.35">
      <c r="A18" t="s">
        <v>107</v>
      </c>
    </row>
    <row r="19" spans="1:1" x14ac:dyDescent="0.35">
      <c r="A19" t="s">
        <v>218</v>
      </c>
    </row>
    <row r="20" spans="1:1" x14ac:dyDescent="0.35">
      <c r="A20" t="s">
        <v>609</v>
      </c>
    </row>
    <row r="21" spans="1:1" x14ac:dyDescent="0.35">
      <c r="A21" t="s">
        <v>274</v>
      </c>
    </row>
    <row r="22" spans="1:1" x14ac:dyDescent="0.35">
      <c r="A22" t="s">
        <v>254</v>
      </c>
    </row>
    <row r="23" spans="1:1" x14ac:dyDescent="0.35">
      <c r="A23" t="s">
        <v>461</v>
      </c>
    </row>
    <row r="24" spans="1:1" x14ac:dyDescent="0.35">
      <c r="A24" t="s">
        <v>635</v>
      </c>
    </row>
    <row r="25" spans="1:1" x14ac:dyDescent="0.35">
      <c r="A25" t="s">
        <v>239</v>
      </c>
    </row>
    <row r="26" spans="1:1" x14ac:dyDescent="0.35">
      <c r="A26" t="s">
        <v>202</v>
      </c>
    </row>
    <row r="27" spans="1:1" x14ac:dyDescent="0.35">
      <c r="A27" t="s">
        <v>246</v>
      </c>
    </row>
    <row r="28" spans="1:1" x14ac:dyDescent="0.35">
      <c r="A28" t="s">
        <v>208</v>
      </c>
    </row>
    <row r="29" spans="1:1" x14ac:dyDescent="0.35">
      <c r="A29" t="s">
        <v>211</v>
      </c>
    </row>
    <row r="30" spans="1:1" x14ac:dyDescent="0.35">
      <c r="A30" t="s">
        <v>606</v>
      </c>
    </row>
    <row r="31" spans="1:1" x14ac:dyDescent="0.35">
      <c r="A31" t="s">
        <v>538</v>
      </c>
    </row>
    <row r="32" spans="1:1" x14ac:dyDescent="0.35">
      <c r="A32" t="s">
        <v>242</v>
      </c>
    </row>
    <row r="33" spans="1:1" x14ac:dyDescent="0.35">
      <c r="A33" t="s">
        <v>252</v>
      </c>
    </row>
    <row r="34" spans="1:1" x14ac:dyDescent="0.35">
      <c r="A34" t="s">
        <v>281</v>
      </c>
    </row>
    <row r="35" spans="1:1" x14ac:dyDescent="0.35">
      <c r="A35" t="s">
        <v>236</v>
      </c>
    </row>
    <row r="36" spans="1:1" x14ac:dyDescent="0.35">
      <c r="A36" t="s">
        <v>549</v>
      </c>
    </row>
    <row r="37" spans="1:1" x14ac:dyDescent="0.35">
      <c r="A37" t="s">
        <v>285</v>
      </c>
    </row>
    <row r="38" spans="1:1" x14ac:dyDescent="0.35">
      <c r="A38" t="s">
        <v>244</v>
      </c>
    </row>
    <row r="39" spans="1:1" x14ac:dyDescent="0.35">
      <c r="A39" t="s">
        <v>544</v>
      </c>
    </row>
    <row r="40" spans="1:1" x14ac:dyDescent="0.35">
      <c r="A40" t="s">
        <v>277</v>
      </c>
    </row>
    <row r="41" spans="1:1" x14ac:dyDescent="0.35">
      <c r="A41" t="s">
        <v>219</v>
      </c>
    </row>
    <row r="42" spans="1:1" x14ac:dyDescent="0.35">
      <c r="A42" t="s">
        <v>102</v>
      </c>
    </row>
    <row r="43" spans="1:1" x14ac:dyDescent="0.35">
      <c r="A43" t="s">
        <v>213</v>
      </c>
    </row>
    <row r="44" spans="1:1" x14ac:dyDescent="0.35">
      <c r="A44" t="s">
        <v>248</v>
      </c>
    </row>
    <row r="45" spans="1:1" x14ac:dyDescent="0.35">
      <c r="A45" t="s">
        <v>278</v>
      </c>
    </row>
    <row r="46" spans="1:1" x14ac:dyDescent="0.35">
      <c r="A46" t="s">
        <v>216</v>
      </c>
    </row>
    <row r="47" spans="1:1" x14ac:dyDescent="0.35">
      <c r="A47" t="s">
        <v>225</v>
      </c>
    </row>
    <row r="48" spans="1:1" x14ac:dyDescent="0.35">
      <c r="A48" t="s">
        <v>513</v>
      </c>
    </row>
    <row r="49" spans="1:1" x14ac:dyDescent="0.35">
      <c r="A49" t="s">
        <v>243</v>
      </c>
    </row>
    <row r="50" spans="1:1" x14ac:dyDescent="0.35">
      <c r="A50" t="s">
        <v>217</v>
      </c>
    </row>
    <row r="51" spans="1:1" x14ac:dyDescent="0.35">
      <c r="A51" t="s">
        <v>197</v>
      </c>
    </row>
    <row r="52" spans="1:1" x14ac:dyDescent="0.35">
      <c r="A52" t="s">
        <v>284</v>
      </c>
    </row>
    <row r="53" spans="1:1" x14ac:dyDescent="0.35">
      <c r="A53" t="s">
        <v>250</v>
      </c>
    </row>
    <row r="54" spans="1:1" x14ac:dyDescent="0.35">
      <c r="A54" t="s">
        <v>602</v>
      </c>
    </row>
    <row r="55" spans="1:1" x14ac:dyDescent="0.35">
      <c r="A55" t="s">
        <v>222</v>
      </c>
    </row>
    <row r="56" spans="1:1" x14ac:dyDescent="0.35">
      <c r="A56" t="s">
        <v>232</v>
      </c>
    </row>
    <row r="57" spans="1:1" x14ac:dyDescent="0.35">
      <c r="A57" t="s">
        <v>212</v>
      </c>
    </row>
    <row r="58" spans="1:1" x14ac:dyDescent="0.35">
      <c r="A58" t="s">
        <v>479</v>
      </c>
    </row>
    <row r="59" spans="1:1" x14ac:dyDescent="0.35">
      <c r="A59" t="s">
        <v>240</v>
      </c>
    </row>
    <row r="60" spans="1:1" x14ac:dyDescent="0.35">
      <c r="A60" t="s">
        <v>227</v>
      </c>
    </row>
    <row r="61" spans="1:1" x14ac:dyDescent="0.35">
      <c r="A61" t="s">
        <v>230</v>
      </c>
    </row>
    <row r="62" spans="1:1" x14ac:dyDescent="0.35">
      <c r="A62" t="s">
        <v>266</v>
      </c>
    </row>
    <row r="63" spans="1:1" x14ac:dyDescent="0.35">
      <c r="A63" t="s">
        <v>231</v>
      </c>
    </row>
    <row r="64" spans="1:1" x14ac:dyDescent="0.35">
      <c r="A64" t="s">
        <v>245</v>
      </c>
    </row>
    <row r="65" spans="1:1" x14ac:dyDescent="0.35">
      <c r="A65" t="s">
        <v>259</v>
      </c>
    </row>
    <row r="66" spans="1:1" x14ac:dyDescent="0.35">
      <c r="A66" t="s">
        <v>616</v>
      </c>
    </row>
    <row r="67" spans="1:1" x14ac:dyDescent="0.35">
      <c r="A67" t="s">
        <v>608</v>
      </c>
    </row>
    <row r="68" spans="1:1" x14ac:dyDescent="0.35">
      <c r="A68" t="s">
        <v>207</v>
      </c>
    </row>
    <row r="69" spans="1:1" x14ac:dyDescent="0.35">
      <c r="A69" t="s">
        <v>228</v>
      </c>
    </row>
    <row r="70" spans="1:1" x14ac:dyDescent="0.35">
      <c r="A70" t="s">
        <v>271</v>
      </c>
    </row>
    <row r="71" spans="1:1" x14ac:dyDescent="0.35">
      <c r="A71" t="s">
        <v>253</v>
      </c>
    </row>
    <row r="72" spans="1:1" x14ac:dyDescent="0.35">
      <c r="A72" t="s">
        <v>523</v>
      </c>
    </row>
    <row r="73" spans="1:1" x14ac:dyDescent="0.35">
      <c r="A73" t="s">
        <v>220</v>
      </c>
    </row>
    <row r="74" spans="1:1" x14ac:dyDescent="0.35">
      <c r="A74" t="s">
        <v>260</v>
      </c>
    </row>
    <row r="75" spans="1:1" x14ac:dyDescent="0.35">
      <c r="A75" t="s">
        <v>582</v>
      </c>
    </row>
    <row r="76" spans="1:1" x14ac:dyDescent="0.35">
      <c r="A76" t="s">
        <v>610</v>
      </c>
    </row>
    <row r="77" spans="1:1" x14ac:dyDescent="0.35">
      <c r="A77" t="s">
        <v>238</v>
      </c>
    </row>
    <row r="78" spans="1:1" x14ac:dyDescent="0.35">
      <c r="A78" t="s">
        <v>512</v>
      </c>
    </row>
    <row r="79" spans="1:1" x14ac:dyDescent="0.35">
      <c r="A79" t="s">
        <v>518</v>
      </c>
    </row>
    <row r="80" spans="1:1" x14ac:dyDescent="0.35">
      <c r="A80" t="s">
        <v>622</v>
      </c>
    </row>
    <row r="81" spans="1:1" x14ac:dyDescent="0.35">
      <c r="A81" t="s">
        <v>614</v>
      </c>
    </row>
    <row r="82" spans="1:1" x14ac:dyDescent="0.35">
      <c r="A82" t="s">
        <v>626</v>
      </c>
    </row>
    <row r="83" spans="1:1" x14ac:dyDescent="0.35">
      <c r="A83" t="s">
        <v>566</v>
      </c>
    </row>
    <row r="84" spans="1:1" x14ac:dyDescent="0.35">
      <c r="A84" t="s">
        <v>576</v>
      </c>
    </row>
    <row r="85" spans="1:1" x14ac:dyDescent="0.35">
      <c r="A85" t="s">
        <v>511</v>
      </c>
    </row>
    <row r="86" spans="1:1" x14ac:dyDescent="0.35">
      <c r="A86" t="s">
        <v>263</v>
      </c>
    </row>
    <row r="87" spans="1:1" x14ac:dyDescent="0.35">
      <c r="A87" t="s">
        <v>578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6AA17-683D-4014-BEFE-3666931F898B}">
  <sheetPr codeName="Sheet8"/>
  <dimension ref="A1"/>
  <sheetViews>
    <sheetView workbookViewId="0">
      <selection activeCell="F24" sqref="F24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7C889-DEDA-46A8-B5A9-9433EF0B69F3}">
  <sheetPr codeName="Sheet2"/>
  <dimension ref="A1"/>
  <sheetViews>
    <sheetView workbookViewId="0">
      <selection activeCell="E23" sqref="E23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B82D8-8ADC-45ED-98C7-E40196178C73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28AD3-B6A9-4CC1-BFA0-B7CA0F04EC05}">
  <sheetPr codeName="Sheet4"/>
  <dimension ref="A1:J1"/>
  <sheetViews>
    <sheetView workbookViewId="0">
      <selection activeCell="F12" sqref="F12"/>
    </sheetView>
  </sheetViews>
  <sheetFormatPr defaultRowHeight="14.5" x14ac:dyDescent="0.35"/>
  <cols>
    <col min="1" max="1" width="12.6328125" bestFit="1" customWidth="1"/>
    <col min="2" max="2" width="11.7265625" bestFit="1" customWidth="1"/>
    <col min="5" max="5" width="10" bestFit="1" customWidth="1"/>
    <col min="6" max="6" width="14.6328125" bestFit="1" customWidth="1"/>
    <col min="7" max="7" width="9.453125" bestFit="1" customWidth="1"/>
    <col min="9" max="9" width="11.26953125" bestFit="1" customWidth="1"/>
  </cols>
  <sheetData>
    <row r="1" spans="1:10" x14ac:dyDescent="0.35">
      <c r="A1" s="1" t="s">
        <v>71</v>
      </c>
      <c r="B1" s="1" t="s">
        <v>72</v>
      </c>
      <c r="C1" s="1" t="s">
        <v>73</v>
      </c>
      <c r="D1" s="1" t="s">
        <v>66</v>
      </c>
      <c r="E1" s="1" t="s">
        <v>186</v>
      </c>
      <c r="F1" s="1" t="s">
        <v>187</v>
      </c>
      <c r="G1" s="1" t="s">
        <v>60</v>
      </c>
      <c r="H1" s="1" t="s">
        <v>74</v>
      </c>
      <c r="I1" s="1" t="s">
        <v>188</v>
      </c>
      <c r="J1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A7EB0-38BB-4176-AF28-16B4D3D0DF13}">
  <sheetPr codeName="Sheet5"/>
  <dimension ref="A1:J92"/>
  <sheetViews>
    <sheetView workbookViewId="0">
      <selection activeCell="O11" sqref="O11"/>
    </sheetView>
  </sheetViews>
  <sheetFormatPr defaultRowHeight="14.5" x14ac:dyDescent="0.35"/>
  <sheetData>
    <row r="1" spans="1:10" x14ac:dyDescent="0.35">
      <c r="A1" t="s">
        <v>75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</row>
    <row r="2" spans="1:10" x14ac:dyDescent="0.35">
      <c r="A2">
        <v>204496453</v>
      </c>
      <c r="B2" t="s">
        <v>361</v>
      </c>
      <c r="C2" t="s">
        <v>85</v>
      </c>
      <c r="D2" s="2">
        <v>45672.395833333336</v>
      </c>
      <c r="E2" s="2">
        <v>45672.604166666664</v>
      </c>
      <c r="F2" t="s">
        <v>86</v>
      </c>
      <c r="G2" s="3">
        <v>45691</v>
      </c>
      <c r="H2" t="s">
        <v>443</v>
      </c>
      <c r="I2" t="s">
        <v>89</v>
      </c>
      <c r="J2" t="s">
        <v>89</v>
      </c>
    </row>
    <row r="3" spans="1:10" x14ac:dyDescent="0.35">
      <c r="A3">
        <v>202753351</v>
      </c>
      <c r="B3" t="s">
        <v>207</v>
      </c>
      <c r="C3" t="s">
        <v>85</v>
      </c>
      <c r="D3" s="2">
        <v>45672.395833333336</v>
      </c>
      <c r="E3" s="2">
        <v>45672.604166666664</v>
      </c>
      <c r="F3" t="s">
        <v>86</v>
      </c>
      <c r="G3" t="s">
        <v>572</v>
      </c>
      <c r="H3" t="s">
        <v>445</v>
      </c>
      <c r="I3" t="s">
        <v>89</v>
      </c>
      <c r="J3" t="s">
        <v>89</v>
      </c>
    </row>
    <row r="4" spans="1:10" x14ac:dyDescent="0.35">
      <c r="A4">
        <v>202448692</v>
      </c>
      <c r="B4" t="s">
        <v>239</v>
      </c>
      <c r="C4" t="s">
        <v>85</v>
      </c>
      <c r="D4" s="2">
        <v>45672.395833333336</v>
      </c>
      <c r="E4" s="2">
        <v>45672.604166666664</v>
      </c>
      <c r="F4" t="s">
        <v>86</v>
      </c>
      <c r="G4" t="s">
        <v>43</v>
      </c>
      <c r="H4" t="s">
        <v>434</v>
      </c>
      <c r="I4" t="s">
        <v>89</v>
      </c>
      <c r="J4" t="s">
        <v>106</v>
      </c>
    </row>
    <row r="5" spans="1:10" x14ac:dyDescent="0.35">
      <c r="A5">
        <v>202369065</v>
      </c>
      <c r="B5" t="s">
        <v>211</v>
      </c>
      <c r="C5" t="s">
        <v>85</v>
      </c>
      <c r="D5" s="2">
        <v>45672.395833333336</v>
      </c>
      <c r="E5" s="2">
        <v>45672.604166666664</v>
      </c>
      <c r="F5" t="s">
        <v>86</v>
      </c>
      <c r="G5" t="s">
        <v>184</v>
      </c>
      <c r="H5" t="s">
        <v>434</v>
      </c>
      <c r="I5" t="s">
        <v>89</v>
      </c>
      <c r="J5" t="s">
        <v>573</v>
      </c>
    </row>
    <row r="6" spans="1:10" x14ac:dyDescent="0.35">
      <c r="A6">
        <v>111032205</v>
      </c>
      <c r="B6" t="s">
        <v>263</v>
      </c>
      <c r="D6" s="2">
        <v>45672.395833333336</v>
      </c>
      <c r="E6" s="2">
        <v>45672.604166666664</v>
      </c>
      <c r="F6" t="s">
        <v>574</v>
      </c>
      <c r="G6" t="s">
        <v>33</v>
      </c>
      <c r="H6" t="s">
        <v>432</v>
      </c>
      <c r="I6" t="s">
        <v>89</v>
      </c>
      <c r="J6" t="s">
        <v>575</v>
      </c>
    </row>
    <row r="7" spans="1:10" x14ac:dyDescent="0.35">
      <c r="A7">
        <v>202783593</v>
      </c>
      <c r="B7" t="s">
        <v>576</v>
      </c>
      <c r="C7" t="s">
        <v>85</v>
      </c>
      <c r="D7" s="2">
        <v>45672.395833333336</v>
      </c>
      <c r="E7" s="2">
        <v>45672.604166666664</v>
      </c>
      <c r="F7" t="s">
        <v>577</v>
      </c>
      <c r="G7" t="s">
        <v>0</v>
      </c>
      <c r="H7" t="s">
        <v>434</v>
      </c>
      <c r="I7" t="s">
        <v>89</v>
      </c>
      <c r="J7" t="s">
        <v>89</v>
      </c>
    </row>
    <row r="8" spans="1:10" x14ac:dyDescent="0.35">
      <c r="A8">
        <v>203042948</v>
      </c>
      <c r="B8" t="s">
        <v>578</v>
      </c>
      <c r="D8" s="2">
        <v>45672.5</v>
      </c>
      <c r="E8" s="2">
        <v>45672.75</v>
      </c>
      <c r="F8" t="s">
        <v>579</v>
      </c>
      <c r="G8" t="s">
        <v>87</v>
      </c>
      <c r="H8" t="s">
        <v>580</v>
      </c>
      <c r="I8" t="s">
        <v>581</v>
      </c>
    </row>
    <row r="9" spans="1:10" x14ac:dyDescent="0.35">
      <c r="A9">
        <v>201085272</v>
      </c>
      <c r="B9" t="s">
        <v>582</v>
      </c>
      <c r="C9" t="s">
        <v>89</v>
      </c>
      <c r="D9" s="2">
        <v>45672.4375</v>
      </c>
      <c r="E9" s="2">
        <v>45672.875</v>
      </c>
      <c r="F9" t="s">
        <v>579</v>
      </c>
      <c r="G9" t="s">
        <v>120</v>
      </c>
      <c r="H9" t="s">
        <v>583</v>
      </c>
      <c r="I9" t="s">
        <v>89</v>
      </c>
      <c r="J9" t="s">
        <v>89</v>
      </c>
    </row>
    <row r="10" spans="1:10" x14ac:dyDescent="0.35">
      <c r="A10">
        <v>203938092</v>
      </c>
      <c r="B10" t="s">
        <v>461</v>
      </c>
      <c r="C10" t="s">
        <v>89</v>
      </c>
      <c r="D10" s="2">
        <v>45672.395833333336</v>
      </c>
      <c r="E10" s="2">
        <v>45672.604166666664</v>
      </c>
      <c r="F10" t="s">
        <v>584</v>
      </c>
      <c r="G10" t="s">
        <v>6</v>
      </c>
      <c r="H10" t="s">
        <v>430</v>
      </c>
      <c r="I10" t="s">
        <v>89</v>
      </c>
      <c r="J10" t="s">
        <v>89</v>
      </c>
    </row>
    <row r="11" spans="1:10" x14ac:dyDescent="0.35">
      <c r="A11">
        <v>203577180</v>
      </c>
      <c r="B11" t="s">
        <v>534</v>
      </c>
      <c r="C11" t="s">
        <v>89</v>
      </c>
      <c r="D11" s="2">
        <v>45672.395833333336</v>
      </c>
      <c r="E11" s="2">
        <v>45672.604166666664</v>
      </c>
      <c r="F11" t="s">
        <v>584</v>
      </c>
      <c r="G11" t="s">
        <v>16</v>
      </c>
      <c r="H11" t="s">
        <v>430</v>
      </c>
      <c r="I11" t="s">
        <v>89</v>
      </c>
      <c r="J11" t="s">
        <v>89</v>
      </c>
    </row>
    <row r="12" spans="1:10" x14ac:dyDescent="0.35">
      <c r="A12">
        <v>203223200</v>
      </c>
      <c r="B12" t="s">
        <v>245</v>
      </c>
      <c r="C12" t="s">
        <v>89</v>
      </c>
      <c r="D12" s="2">
        <v>45672.395833333336</v>
      </c>
      <c r="E12" s="2">
        <v>45672.604166666664</v>
      </c>
      <c r="F12" t="s">
        <v>584</v>
      </c>
      <c r="G12" t="s">
        <v>120</v>
      </c>
      <c r="H12" t="s">
        <v>430</v>
      </c>
      <c r="I12" t="s">
        <v>89</v>
      </c>
      <c r="J12" t="s">
        <v>89</v>
      </c>
    </row>
    <row r="13" spans="1:10" x14ac:dyDescent="0.35">
      <c r="A13">
        <v>202630694</v>
      </c>
      <c r="B13" t="s">
        <v>237</v>
      </c>
      <c r="C13" t="s">
        <v>89</v>
      </c>
      <c r="D13" s="2">
        <v>45672.395833333336</v>
      </c>
      <c r="E13" s="2">
        <v>45672.604166666664</v>
      </c>
      <c r="F13" t="s">
        <v>584</v>
      </c>
      <c r="G13" t="s">
        <v>585</v>
      </c>
      <c r="H13" t="s">
        <v>430</v>
      </c>
      <c r="I13" t="s">
        <v>89</v>
      </c>
      <c r="J13" t="s">
        <v>106</v>
      </c>
    </row>
    <row r="14" spans="1:10" x14ac:dyDescent="0.35">
      <c r="A14">
        <v>202603792</v>
      </c>
      <c r="B14" t="s">
        <v>544</v>
      </c>
      <c r="C14" t="s">
        <v>89</v>
      </c>
      <c r="D14" s="2">
        <v>45672.395833333336</v>
      </c>
      <c r="E14" s="2">
        <v>45672.604166666664</v>
      </c>
      <c r="F14" t="s">
        <v>584</v>
      </c>
      <c r="G14" t="s">
        <v>87</v>
      </c>
      <c r="H14" t="s">
        <v>430</v>
      </c>
      <c r="I14" t="s">
        <v>89</v>
      </c>
      <c r="J14" t="s">
        <v>89</v>
      </c>
    </row>
    <row r="15" spans="1:10" x14ac:dyDescent="0.35">
      <c r="A15">
        <v>202175972</v>
      </c>
      <c r="B15" t="s">
        <v>219</v>
      </c>
      <c r="C15" t="s">
        <v>89</v>
      </c>
      <c r="D15" s="2">
        <v>45672.395833333336</v>
      </c>
      <c r="E15" s="2">
        <v>45672.604166666664</v>
      </c>
      <c r="F15" t="s">
        <v>584</v>
      </c>
      <c r="G15" t="s">
        <v>0</v>
      </c>
      <c r="H15" t="s">
        <v>430</v>
      </c>
      <c r="I15" t="s">
        <v>89</v>
      </c>
      <c r="J15" t="s">
        <v>106</v>
      </c>
    </row>
    <row r="16" spans="1:10" x14ac:dyDescent="0.35">
      <c r="A16">
        <v>201640435</v>
      </c>
      <c r="B16" t="s">
        <v>512</v>
      </c>
      <c r="C16" t="s">
        <v>89</v>
      </c>
      <c r="D16" s="2">
        <v>45672.395833333336</v>
      </c>
      <c r="E16" s="2">
        <v>45672.604166666664</v>
      </c>
      <c r="F16" t="s">
        <v>584</v>
      </c>
      <c r="G16" t="s">
        <v>184</v>
      </c>
      <c r="H16" t="s">
        <v>430</v>
      </c>
      <c r="I16" t="s">
        <v>89</v>
      </c>
      <c r="J16" t="s">
        <v>89</v>
      </c>
    </row>
    <row r="17" spans="1:10" x14ac:dyDescent="0.35">
      <c r="A17">
        <v>201033503</v>
      </c>
      <c r="B17" t="s">
        <v>247</v>
      </c>
      <c r="C17" t="s">
        <v>89</v>
      </c>
      <c r="D17" s="2">
        <v>45672.395833333336</v>
      </c>
      <c r="E17" s="2">
        <v>45672.604166666664</v>
      </c>
      <c r="F17" t="s">
        <v>584</v>
      </c>
      <c r="G17" t="s">
        <v>103</v>
      </c>
      <c r="H17" t="s">
        <v>430</v>
      </c>
      <c r="I17" t="s">
        <v>89</v>
      </c>
      <c r="J17" t="s">
        <v>575</v>
      </c>
    </row>
    <row r="18" spans="1:10" x14ac:dyDescent="0.35">
      <c r="A18">
        <v>200978372</v>
      </c>
      <c r="B18" t="s">
        <v>466</v>
      </c>
      <c r="C18" t="s">
        <v>89</v>
      </c>
      <c r="D18" s="2">
        <v>45672.395833333336</v>
      </c>
      <c r="E18" s="2">
        <v>45672.604166666664</v>
      </c>
      <c r="F18" t="s">
        <v>584</v>
      </c>
      <c r="G18" t="s">
        <v>11</v>
      </c>
      <c r="H18" t="s">
        <v>430</v>
      </c>
      <c r="I18" t="s">
        <v>89</v>
      </c>
      <c r="J18" t="s">
        <v>89</v>
      </c>
    </row>
    <row r="19" spans="1:10" x14ac:dyDescent="0.35">
      <c r="A19">
        <v>200968697</v>
      </c>
      <c r="B19" t="s">
        <v>264</v>
      </c>
      <c r="C19" t="s">
        <v>89</v>
      </c>
      <c r="D19" s="2">
        <v>45672.395833333336</v>
      </c>
      <c r="E19" s="2">
        <v>45672.604166666664</v>
      </c>
      <c r="F19" t="s">
        <v>584</v>
      </c>
      <c r="G19" t="s">
        <v>184</v>
      </c>
      <c r="H19" t="s">
        <v>430</v>
      </c>
      <c r="I19" t="s">
        <v>89</v>
      </c>
      <c r="J19" t="s">
        <v>106</v>
      </c>
    </row>
    <row r="20" spans="1:10" x14ac:dyDescent="0.35">
      <c r="A20">
        <v>200705567</v>
      </c>
      <c r="B20" t="s">
        <v>227</v>
      </c>
      <c r="C20" t="s">
        <v>89</v>
      </c>
      <c r="D20" s="2">
        <v>45672.395833333336</v>
      </c>
      <c r="E20" s="2">
        <v>45672.604166666664</v>
      </c>
      <c r="F20" t="s">
        <v>584</v>
      </c>
      <c r="G20" t="s">
        <v>31</v>
      </c>
      <c r="H20" t="s">
        <v>430</v>
      </c>
      <c r="I20" t="s">
        <v>89</v>
      </c>
      <c r="J20" t="s">
        <v>89</v>
      </c>
    </row>
    <row r="21" spans="1:10" x14ac:dyDescent="0.35">
      <c r="A21">
        <v>111287342</v>
      </c>
      <c r="B21" t="s">
        <v>278</v>
      </c>
      <c r="C21" t="s">
        <v>89</v>
      </c>
      <c r="D21" s="2">
        <v>45672.395833333336</v>
      </c>
      <c r="E21" s="2">
        <v>45672.604166666664</v>
      </c>
      <c r="F21" t="s">
        <v>584</v>
      </c>
      <c r="G21" t="s">
        <v>586</v>
      </c>
      <c r="H21" t="s">
        <v>430</v>
      </c>
      <c r="I21" t="s">
        <v>89</v>
      </c>
      <c r="J21" t="s">
        <v>89</v>
      </c>
    </row>
    <row r="22" spans="1:10" x14ac:dyDescent="0.35">
      <c r="A22">
        <v>111018903</v>
      </c>
      <c r="B22" t="s">
        <v>240</v>
      </c>
      <c r="C22" t="s">
        <v>89</v>
      </c>
      <c r="D22" s="2">
        <v>45672.395833333336</v>
      </c>
      <c r="E22" s="2">
        <v>45672.604166666664</v>
      </c>
      <c r="F22" t="s">
        <v>584</v>
      </c>
      <c r="G22">
        <v>33</v>
      </c>
      <c r="H22" t="s">
        <v>430</v>
      </c>
      <c r="I22" t="s">
        <v>89</v>
      </c>
      <c r="J22" t="s">
        <v>106</v>
      </c>
    </row>
    <row r="23" spans="1:10" x14ac:dyDescent="0.35">
      <c r="A23">
        <v>110932529</v>
      </c>
      <c r="B23" t="s">
        <v>260</v>
      </c>
      <c r="C23" t="s">
        <v>89</v>
      </c>
      <c r="D23" s="2">
        <v>45672.395833333336</v>
      </c>
      <c r="E23" s="2">
        <v>45672.604166666664</v>
      </c>
      <c r="F23" t="s">
        <v>584</v>
      </c>
      <c r="G23" s="3">
        <v>45661</v>
      </c>
      <c r="H23" t="s">
        <v>430</v>
      </c>
      <c r="I23" t="s">
        <v>89</v>
      </c>
      <c r="J23" t="s">
        <v>575</v>
      </c>
    </row>
    <row r="24" spans="1:10" x14ac:dyDescent="0.35">
      <c r="A24">
        <v>110658084</v>
      </c>
      <c r="B24" t="s">
        <v>250</v>
      </c>
      <c r="C24" t="s">
        <v>89</v>
      </c>
      <c r="D24" s="2">
        <v>45672.395833333336</v>
      </c>
      <c r="E24" s="2">
        <v>45672.604166666664</v>
      </c>
      <c r="F24" t="s">
        <v>584</v>
      </c>
      <c r="G24" t="s">
        <v>42</v>
      </c>
      <c r="H24" t="s">
        <v>430</v>
      </c>
      <c r="I24" t="s">
        <v>89</v>
      </c>
      <c r="J24" t="s">
        <v>89</v>
      </c>
    </row>
    <row r="25" spans="1:10" x14ac:dyDescent="0.35">
      <c r="A25">
        <v>108086166</v>
      </c>
      <c r="B25" t="s">
        <v>222</v>
      </c>
      <c r="C25" t="s">
        <v>89</v>
      </c>
      <c r="D25" s="2">
        <v>45672.395833333336</v>
      </c>
      <c r="E25" s="2">
        <v>45672.604166666664</v>
      </c>
      <c r="F25" t="s">
        <v>584</v>
      </c>
      <c r="G25" t="s">
        <v>120</v>
      </c>
      <c r="H25" t="s">
        <v>430</v>
      </c>
      <c r="I25" t="s">
        <v>89</v>
      </c>
      <c r="J25" t="s">
        <v>89</v>
      </c>
    </row>
    <row r="26" spans="1:10" x14ac:dyDescent="0.35">
      <c r="A26">
        <v>105510267</v>
      </c>
      <c r="B26" t="s">
        <v>523</v>
      </c>
      <c r="C26" t="s">
        <v>89</v>
      </c>
      <c r="D26" s="2">
        <v>45672.395833333336</v>
      </c>
      <c r="E26" s="2">
        <v>45672.604166666664</v>
      </c>
      <c r="F26" t="s">
        <v>584</v>
      </c>
      <c r="G26" t="s">
        <v>587</v>
      </c>
      <c r="H26" t="s">
        <v>430</v>
      </c>
      <c r="I26" t="s">
        <v>89</v>
      </c>
      <c r="J26" t="s">
        <v>89</v>
      </c>
    </row>
    <row r="27" spans="1:10" x14ac:dyDescent="0.35">
      <c r="A27">
        <v>100886531</v>
      </c>
      <c r="B27" t="s">
        <v>228</v>
      </c>
      <c r="C27" t="s">
        <v>89</v>
      </c>
      <c r="D27" s="2">
        <v>45672.395833333336</v>
      </c>
      <c r="E27" s="2">
        <v>45672.604166666664</v>
      </c>
      <c r="F27" t="s">
        <v>584</v>
      </c>
      <c r="G27" t="s">
        <v>184</v>
      </c>
      <c r="H27" t="s">
        <v>430</v>
      </c>
      <c r="I27" t="s">
        <v>89</v>
      </c>
      <c r="J27" t="s">
        <v>106</v>
      </c>
    </row>
    <row r="28" spans="1:10" x14ac:dyDescent="0.35">
      <c r="A28">
        <v>203552323</v>
      </c>
      <c r="B28" t="s">
        <v>549</v>
      </c>
      <c r="C28" t="s">
        <v>89</v>
      </c>
      <c r="D28" s="2">
        <v>45672.395833333336</v>
      </c>
      <c r="E28" s="2">
        <v>45672.604166666664</v>
      </c>
      <c r="F28" t="s">
        <v>588</v>
      </c>
      <c r="G28" t="s">
        <v>589</v>
      </c>
      <c r="H28" t="s">
        <v>432</v>
      </c>
      <c r="I28" t="s">
        <v>89</v>
      </c>
      <c r="J28" t="s">
        <v>89</v>
      </c>
    </row>
    <row r="29" spans="1:10" x14ac:dyDescent="0.35">
      <c r="A29">
        <v>202291993</v>
      </c>
      <c r="B29" t="s">
        <v>283</v>
      </c>
      <c r="C29" t="s">
        <v>89</v>
      </c>
      <c r="D29" s="2">
        <v>45672.395833333336</v>
      </c>
      <c r="E29" s="2">
        <v>45672.604166666664</v>
      </c>
      <c r="F29" t="s">
        <v>588</v>
      </c>
      <c r="G29" t="s">
        <v>590</v>
      </c>
      <c r="H29" t="s">
        <v>432</v>
      </c>
      <c r="I29" t="s">
        <v>89</v>
      </c>
      <c r="J29" t="s">
        <v>89</v>
      </c>
    </row>
    <row r="30" spans="1:10" x14ac:dyDescent="0.35">
      <c r="A30">
        <v>202005530</v>
      </c>
      <c r="B30" t="s">
        <v>226</v>
      </c>
      <c r="C30" t="s">
        <v>89</v>
      </c>
      <c r="D30" s="2">
        <v>45672.395833333336</v>
      </c>
      <c r="E30" s="2">
        <v>45672.604166666664</v>
      </c>
      <c r="F30" t="s">
        <v>588</v>
      </c>
      <c r="G30" t="s">
        <v>591</v>
      </c>
      <c r="H30" t="s">
        <v>432</v>
      </c>
      <c r="I30" t="s">
        <v>89</v>
      </c>
      <c r="J30" t="s">
        <v>573</v>
      </c>
    </row>
    <row r="31" spans="1:10" x14ac:dyDescent="0.35">
      <c r="A31">
        <v>201755216</v>
      </c>
      <c r="B31" t="s">
        <v>208</v>
      </c>
      <c r="C31" t="s">
        <v>89</v>
      </c>
      <c r="D31" s="2">
        <v>45672.395833333336</v>
      </c>
      <c r="E31" s="2">
        <v>45672.604166666664</v>
      </c>
      <c r="F31" t="s">
        <v>588</v>
      </c>
      <c r="G31" t="s">
        <v>120</v>
      </c>
      <c r="H31" t="s">
        <v>432</v>
      </c>
      <c r="I31" t="s">
        <v>89</v>
      </c>
      <c r="J31" t="s">
        <v>106</v>
      </c>
    </row>
    <row r="32" spans="1:10" x14ac:dyDescent="0.35">
      <c r="A32">
        <v>201632841</v>
      </c>
      <c r="B32" t="s">
        <v>479</v>
      </c>
      <c r="C32" t="s">
        <v>89</v>
      </c>
      <c r="D32" s="2">
        <v>45672.395833333336</v>
      </c>
      <c r="E32" s="2">
        <v>45672.604166666664</v>
      </c>
      <c r="F32" t="s">
        <v>588</v>
      </c>
      <c r="G32" t="s">
        <v>592</v>
      </c>
      <c r="H32" t="s">
        <v>432</v>
      </c>
      <c r="I32" t="s">
        <v>89</v>
      </c>
      <c r="J32" t="s">
        <v>89</v>
      </c>
    </row>
    <row r="33" spans="1:10" x14ac:dyDescent="0.35">
      <c r="A33">
        <v>200973284</v>
      </c>
      <c r="B33" t="s">
        <v>216</v>
      </c>
      <c r="C33" t="s">
        <v>89</v>
      </c>
      <c r="D33" s="2">
        <v>45672.395833333336</v>
      </c>
      <c r="E33" s="2">
        <v>45672.604166666664</v>
      </c>
      <c r="F33" t="s">
        <v>588</v>
      </c>
      <c r="G33" t="s">
        <v>184</v>
      </c>
      <c r="H33" t="s">
        <v>432</v>
      </c>
      <c r="I33" t="s">
        <v>89</v>
      </c>
      <c r="J33" t="s">
        <v>573</v>
      </c>
    </row>
    <row r="34" spans="1:10" x14ac:dyDescent="0.35">
      <c r="A34">
        <v>200734161</v>
      </c>
      <c r="B34" t="s">
        <v>217</v>
      </c>
      <c r="C34" t="s">
        <v>89</v>
      </c>
      <c r="D34" s="2">
        <v>45672.395833333336</v>
      </c>
      <c r="E34" s="2">
        <v>45672.604166666664</v>
      </c>
      <c r="F34" t="s">
        <v>588</v>
      </c>
      <c r="G34" t="s">
        <v>11</v>
      </c>
      <c r="H34" t="s">
        <v>432</v>
      </c>
      <c r="I34" t="s">
        <v>89</v>
      </c>
      <c r="J34" t="s">
        <v>106</v>
      </c>
    </row>
    <row r="35" spans="1:10" x14ac:dyDescent="0.35">
      <c r="A35">
        <v>200521245</v>
      </c>
      <c r="B35" t="s">
        <v>214</v>
      </c>
      <c r="C35" t="s">
        <v>89</v>
      </c>
      <c r="D35" s="2">
        <v>45672.395833333336</v>
      </c>
      <c r="E35" s="2">
        <v>45672.604166666664</v>
      </c>
      <c r="F35" t="s">
        <v>588</v>
      </c>
      <c r="G35" t="s">
        <v>184</v>
      </c>
      <c r="H35" t="s">
        <v>432</v>
      </c>
      <c r="I35" t="s">
        <v>89</v>
      </c>
      <c r="J35" t="s">
        <v>575</v>
      </c>
    </row>
    <row r="36" spans="1:10" x14ac:dyDescent="0.35">
      <c r="A36">
        <v>200429067</v>
      </c>
      <c r="B36" t="s">
        <v>518</v>
      </c>
      <c r="C36" t="s">
        <v>89</v>
      </c>
      <c r="D36" s="2">
        <v>45672.395833333336</v>
      </c>
      <c r="E36" s="2">
        <v>45672.604166666664</v>
      </c>
      <c r="F36" t="s">
        <v>588</v>
      </c>
      <c r="G36" t="s">
        <v>18</v>
      </c>
      <c r="H36" t="s">
        <v>432</v>
      </c>
      <c r="I36" t="s">
        <v>89</v>
      </c>
      <c r="J36" t="s">
        <v>89</v>
      </c>
    </row>
    <row r="37" spans="1:10" x14ac:dyDescent="0.35">
      <c r="A37">
        <v>111862455</v>
      </c>
      <c r="B37" t="s">
        <v>230</v>
      </c>
      <c r="C37" t="s">
        <v>89</v>
      </c>
      <c r="D37" s="2">
        <v>45672.395833333336</v>
      </c>
      <c r="E37" s="2">
        <v>45672.604166666664</v>
      </c>
      <c r="F37" t="s">
        <v>588</v>
      </c>
      <c r="G37" t="s">
        <v>593</v>
      </c>
      <c r="H37" t="s">
        <v>432</v>
      </c>
      <c r="I37" t="s">
        <v>89</v>
      </c>
      <c r="J37" t="s">
        <v>89</v>
      </c>
    </row>
    <row r="38" spans="1:10" x14ac:dyDescent="0.35">
      <c r="A38">
        <v>111740211</v>
      </c>
      <c r="B38" t="s">
        <v>225</v>
      </c>
      <c r="C38" t="s">
        <v>89</v>
      </c>
      <c r="D38" s="2">
        <v>45672.395833333336</v>
      </c>
      <c r="E38" s="2">
        <v>45672.604166666664</v>
      </c>
      <c r="F38" t="s">
        <v>588</v>
      </c>
      <c r="G38" t="s">
        <v>87</v>
      </c>
      <c r="H38" t="s">
        <v>432</v>
      </c>
      <c r="I38" t="s">
        <v>89</v>
      </c>
      <c r="J38" t="s">
        <v>106</v>
      </c>
    </row>
    <row r="39" spans="1:10" x14ac:dyDescent="0.35">
      <c r="A39">
        <v>111740199</v>
      </c>
      <c r="B39" t="s">
        <v>242</v>
      </c>
      <c r="C39" t="s">
        <v>89</v>
      </c>
      <c r="D39" s="2">
        <v>45672.395833333336</v>
      </c>
      <c r="E39" s="2">
        <v>45672.604166666664</v>
      </c>
      <c r="F39" t="s">
        <v>588</v>
      </c>
      <c r="G39" t="s">
        <v>594</v>
      </c>
      <c r="H39" t="s">
        <v>432</v>
      </c>
      <c r="I39" t="s">
        <v>89</v>
      </c>
      <c r="J39" t="s">
        <v>106</v>
      </c>
    </row>
    <row r="40" spans="1:10" x14ac:dyDescent="0.35">
      <c r="A40">
        <v>111514765</v>
      </c>
      <c r="B40" t="s">
        <v>212</v>
      </c>
      <c r="C40" t="s">
        <v>89</v>
      </c>
      <c r="D40" s="2">
        <v>45672.395833333336</v>
      </c>
      <c r="E40" s="2">
        <v>45672.604166666664</v>
      </c>
      <c r="F40" t="s">
        <v>588</v>
      </c>
      <c r="G40" t="s">
        <v>28</v>
      </c>
      <c r="H40" t="s">
        <v>432</v>
      </c>
      <c r="I40" t="s">
        <v>89</v>
      </c>
      <c r="J40" t="s">
        <v>106</v>
      </c>
    </row>
    <row r="41" spans="1:10" x14ac:dyDescent="0.35">
      <c r="A41">
        <v>111374028</v>
      </c>
      <c r="B41" t="s">
        <v>235</v>
      </c>
      <c r="C41" t="s">
        <v>89</v>
      </c>
      <c r="D41" s="2">
        <v>45672.395833333336</v>
      </c>
      <c r="E41" s="2">
        <v>45672.604166666664</v>
      </c>
      <c r="F41" t="s">
        <v>588</v>
      </c>
      <c r="G41" t="s">
        <v>184</v>
      </c>
      <c r="H41" t="s">
        <v>432</v>
      </c>
      <c r="I41" t="s">
        <v>89</v>
      </c>
      <c r="J41" t="s">
        <v>106</v>
      </c>
    </row>
    <row r="42" spans="1:10" x14ac:dyDescent="0.35">
      <c r="A42">
        <v>110742132</v>
      </c>
      <c r="B42" t="s">
        <v>511</v>
      </c>
      <c r="C42" t="s">
        <v>89</v>
      </c>
      <c r="D42" s="2">
        <v>45672.395833333336</v>
      </c>
      <c r="E42" s="2">
        <v>45672.604166666664</v>
      </c>
      <c r="F42" t="s">
        <v>588</v>
      </c>
      <c r="G42" t="s">
        <v>595</v>
      </c>
      <c r="H42" t="s">
        <v>432</v>
      </c>
      <c r="I42" t="s">
        <v>89</v>
      </c>
      <c r="J42" t="s">
        <v>89</v>
      </c>
    </row>
    <row r="43" spans="1:10" x14ac:dyDescent="0.35">
      <c r="A43">
        <v>105409439</v>
      </c>
      <c r="B43" t="s">
        <v>238</v>
      </c>
      <c r="C43" t="s">
        <v>89</v>
      </c>
      <c r="D43" s="2">
        <v>45672.395833333336</v>
      </c>
      <c r="E43" s="2">
        <v>45672.604166666664</v>
      </c>
      <c r="F43" t="s">
        <v>588</v>
      </c>
      <c r="G43" t="s">
        <v>40</v>
      </c>
      <c r="H43" t="s">
        <v>432</v>
      </c>
      <c r="I43" t="s">
        <v>89</v>
      </c>
      <c r="J43" t="s">
        <v>89</v>
      </c>
    </row>
    <row r="44" spans="1:10" x14ac:dyDescent="0.35">
      <c r="A44">
        <v>105328144</v>
      </c>
      <c r="B44" t="s">
        <v>284</v>
      </c>
      <c r="C44" t="s">
        <v>89</v>
      </c>
      <c r="D44" s="2">
        <v>45672.395833333336</v>
      </c>
      <c r="E44" s="2">
        <v>45672.604166666664</v>
      </c>
      <c r="F44" t="s">
        <v>588</v>
      </c>
      <c r="G44" t="s">
        <v>34</v>
      </c>
      <c r="H44" t="s">
        <v>432</v>
      </c>
      <c r="I44" t="s">
        <v>89</v>
      </c>
      <c r="J44" t="s">
        <v>89</v>
      </c>
    </row>
    <row r="45" spans="1:10" x14ac:dyDescent="0.35">
      <c r="A45">
        <v>101752871</v>
      </c>
      <c r="B45" t="s">
        <v>243</v>
      </c>
      <c r="C45" t="s">
        <v>89</v>
      </c>
      <c r="D45" s="2">
        <v>45672.395833333336</v>
      </c>
      <c r="E45" s="2">
        <v>45672.604166666664</v>
      </c>
      <c r="F45" t="s">
        <v>588</v>
      </c>
      <c r="G45" t="s">
        <v>40</v>
      </c>
      <c r="H45" t="s">
        <v>432</v>
      </c>
      <c r="I45" t="s">
        <v>89</v>
      </c>
      <c r="J45" t="s">
        <v>106</v>
      </c>
    </row>
    <row r="46" spans="1:10" x14ac:dyDescent="0.35">
      <c r="A46">
        <v>202785307</v>
      </c>
      <c r="B46" t="s">
        <v>246</v>
      </c>
      <c r="C46" t="s">
        <v>89</v>
      </c>
      <c r="D46" s="2">
        <v>45672.395833333336</v>
      </c>
      <c r="E46" s="2">
        <v>45672.604166666664</v>
      </c>
      <c r="F46" t="s">
        <v>596</v>
      </c>
      <c r="G46" t="s">
        <v>103</v>
      </c>
      <c r="H46" t="s">
        <v>433</v>
      </c>
      <c r="I46" t="s">
        <v>89</v>
      </c>
      <c r="J46" t="s">
        <v>106</v>
      </c>
    </row>
    <row r="47" spans="1:10" x14ac:dyDescent="0.35">
      <c r="A47">
        <v>202603806</v>
      </c>
      <c r="B47" t="s">
        <v>570</v>
      </c>
      <c r="C47" t="s">
        <v>89</v>
      </c>
      <c r="D47" s="2">
        <v>45672.395833333336</v>
      </c>
      <c r="E47" s="2">
        <v>45672.604166666664</v>
      </c>
      <c r="F47" t="s">
        <v>596</v>
      </c>
      <c r="G47" t="s">
        <v>597</v>
      </c>
      <c r="H47" t="s">
        <v>433</v>
      </c>
      <c r="I47" t="s">
        <v>89</v>
      </c>
      <c r="J47" t="s">
        <v>89</v>
      </c>
    </row>
    <row r="48" spans="1:10" x14ac:dyDescent="0.35">
      <c r="A48">
        <v>202140129</v>
      </c>
      <c r="B48" t="s">
        <v>213</v>
      </c>
      <c r="C48" t="s">
        <v>89</v>
      </c>
      <c r="D48" s="2">
        <v>45672.395833333336</v>
      </c>
      <c r="E48" s="2">
        <v>45672.604166666664</v>
      </c>
      <c r="F48" t="s">
        <v>596</v>
      </c>
      <c r="G48" t="s">
        <v>184</v>
      </c>
      <c r="H48" t="s">
        <v>433</v>
      </c>
      <c r="I48" t="s">
        <v>89</v>
      </c>
      <c r="J48" t="s">
        <v>106</v>
      </c>
    </row>
    <row r="49" spans="1:10" x14ac:dyDescent="0.35">
      <c r="A49">
        <v>202136928</v>
      </c>
      <c r="B49" t="s">
        <v>248</v>
      </c>
      <c r="C49" t="s">
        <v>89</v>
      </c>
      <c r="D49" s="2">
        <v>45672.395833333336</v>
      </c>
      <c r="E49" s="2">
        <v>45672.604166666664</v>
      </c>
      <c r="F49" t="s">
        <v>596</v>
      </c>
      <c r="G49" t="s">
        <v>103</v>
      </c>
      <c r="H49" t="s">
        <v>433</v>
      </c>
      <c r="I49" t="s">
        <v>89</v>
      </c>
      <c r="J49" t="s">
        <v>106</v>
      </c>
    </row>
    <row r="50" spans="1:10" x14ac:dyDescent="0.35">
      <c r="A50">
        <v>201757653</v>
      </c>
      <c r="B50" t="s">
        <v>232</v>
      </c>
      <c r="C50" t="s">
        <v>89</v>
      </c>
      <c r="D50" s="2">
        <v>45672.395833333336</v>
      </c>
      <c r="E50" s="2">
        <v>45672.604166666664</v>
      </c>
      <c r="F50" t="s">
        <v>596</v>
      </c>
      <c r="G50" t="s">
        <v>598</v>
      </c>
      <c r="H50" t="s">
        <v>433</v>
      </c>
      <c r="I50" t="s">
        <v>89</v>
      </c>
      <c r="J50" t="s">
        <v>106</v>
      </c>
    </row>
    <row r="51" spans="1:10" x14ac:dyDescent="0.35">
      <c r="A51">
        <v>201752433</v>
      </c>
      <c r="B51" t="s">
        <v>254</v>
      </c>
      <c r="C51" t="s">
        <v>89</v>
      </c>
      <c r="D51" s="2">
        <v>45672.395833333336</v>
      </c>
      <c r="E51" s="2">
        <v>45672.604166666664</v>
      </c>
      <c r="F51" t="s">
        <v>596</v>
      </c>
      <c r="G51" t="s">
        <v>599</v>
      </c>
      <c r="H51" t="s">
        <v>433</v>
      </c>
      <c r="I51" t="s">
        <v>89</v>
      </c>
      <c r="J51" t="s">
        <v>106</v>
      </c>
    </row>
    <row r="52" spans="1:10" x14ac:dyDescent="0.35">
      <c r="A52">
        <v>201023143</v>
      </c>
      <c r="B52" t="s">
        <v>285</v>
      </c>
      <c r="C52" t="s">
        <v>89</v>
      </c>
      <c r="D52" s="2">
        <v>45672.395833333336</v>
      </c>
      <c r="E52" s="2">
        <v>45672.604166666664</v>
      </c>
      <c r="F52" t="s">
        <v>596</v>
      </c>
      <c r="G52" t="s">
        <v>103</v>
      </c>
      <c r="H52" t="s">
        <v>433</v>
      </c>
      <c r="I52" t="s">
        <v>89</v>
      </c>
      <c r="J52" t="s">
        <v>89</v>
      </c>
    </row>
    <row r="53" spans="1:10" x14ac:dyDescent="0.35">
      <c r="A53">
        <v>200987927</v>
      </c>
      <c r="B53" t="s">
        <v>244</v>
      </c>
      <c r="C53" t="s">
        <v>89</v>
      </c>
      <c r="D53" s="2">
        <v>45672.395833333336</v>
      </c>
      <c r="E53" s="2">
        <v>45672.604166666664</v>
      </c>
      <c r="F53" t="s">
        <v>596</v>
      </c>
      <c r="G53" t="s">
        <v>21</v>
      </c>
      <c r="H53" t="s">
        <v>433</v>
      </c>
      <c r="I53" t="s">
        <v>89</v>
      </c>
      <c r="J53" t="s">
        <v>106</v>
      </c>
    </row>
    <row r="54" spans="1:10" x14ac:dyDescent="0.35">
      <c r="A54">
        <v>200771525</v>
      </c>
      <c r="B54" t="s">
        <v>218</v>
      </c>
      <c r="C54" t="s">
        <v>89</v>
      </c>
      <c r="D54" s="2">
        <v>45672.395833333336</v>
      </c>
      <c r="E54" s="2">
        <v>45672.604166666664</v>
      </c>
      <c r="F54" t="s">
        <v>596</v>
      </c>
      <c r="G54" t="s">
        <v>600</v>
      </c>
      <c r="H54" t="s">
        <v>433</v>
      </c>
      <c r="I54" t="s">
        <v>89</v>
      </c>
      <c r="J54" t="s">
        <v>106</v>
      </c>
    </row>
    <row r="55" spans="1:10" x14ac:dyDescent="0.35">
      <c r="A55">
        <v>112902694</v>
      </c>
      <c r="B55" t="s">
        <v>559</v>
      </c>
      <c r="C55" t="s">
        <v>89</v>
      </c>
      <c r="D55" s="2">
        <v>45672.395833333336</v>
      </c>
      <c r="E55" s="2">
        <v>45672.604166666664</v>
      </c>
      <c r="F55" t="s">
        <v>596</v>
      </c>
      <c r="G55" t="s">
        <v>587</v>
      </c>
      <c r="H55" t="s">
        <v>433</v>
      </c>
      <c r="I55" t="s">
        <v>89</v>
      </c>
      <c r="J55" t="s">
        <v>89</v>
      </c>
    </row>
    <row r="56" spans="1:10" x14ac:dyDescent="0.35">
      <c r="A56">
        <v>111792863</v>
      </c>
      <c r="B56" t="s">
        <v>271</v>
      </c>
      <c r="C56" t="s">
        <v>89</v>
      </c>
      <c r="D56" s="2">
        <v>45672.395833333336</v>
      </c>
      <c r="E56" s="2">
        <v>45672.604166666664</v>
      </c>
      <c r="F56" t="s">
        <v>596</v>
      </c>
      <c r="G56" t="s">
        <v>122</v>
      </c>
      <c r="H56" t="s">
        <v>433</v>
      </c>
      <c r="I56" t="s">
        <v>89</v>
      </c>
      <c r="J56" t="s">
        <v>89</v>
      </c>
    </row>
    <row r="57" spans="1:10" x14ac:dyDescent="0.35">
      <c r="A57">
        <v>111540506</v>
      </c>
      <c r="B57" t="s">
        <v>265</v>
      </c>
      <c r="C57" t="s">
        <v>89</v>
      </c>
      <c r="D57" s="2">
        <v>45672.395833333336</v>
      </c>
      <c r="E57" s="2">
        <v>45672.604166666664</v>
      </c>
      <c r="F57" t="s">
        <v>596</v>
      </c>
      <c r="G57" t="s">
        <v>601</v>
      </c>
      <c r="H57" t="s">
        <v>433</v>
      </c>
      <c r="I57" t="s">
        <v>89</v>
      </c>
      <c r="J57" t="s">
        <v>89</v>
      </c>
    </row>
    <row r="58" spans="1:10" x14ac:dyDescent="0.35">
      <c r="A58">
        <v>109354949</v>
      </c>
      <c r="B58" t="s">
        <v>258</v>
      </c>
      <c r="C58" t="s">
        <v>89</v>
      </c>
      <c r="D58" s="2">
        <v>45672.395833333336</v>
      </c>
      <c r="E58" s="2">
        <v>45672.604166666664</v>
      </c>
      <c r="F58" t="s">
        <v>596</v>
      </c>
      <c r="G58" t="s">
        <v>87</v>
      </c>
      <c r="H58" t="s">
        <v>433</v>
      </c>
      <c r="I58" t="s">
        <v>89</v>
      </c>
      <c r="J58" t="s">
        <v>89</v>
      </c>
    </row>
    <row r="59" spans="1:10" x14ac:dyDescent="0.35">
      <c r="A59">
        <v>106290534</v>
      </c>
      <c r="B59" t="s">
        <v>223</v>
      </c>
      <c r="C59" t="s">
        <v>89</v>
      </c>
      <c r="D59" s="2">
        <v>45672.395833333336</v>
      </c>
      <c r="E59" s="2">
        <v>45672.604166666664</v>
      </c>
      <c r="F59" t="s">
        <v>596</v>
      </c>
      <c r="G59" t="s">
        <v>184</v>
      </c>
      <c r="H59" t="s">
        <v>433</v>
      </c>
      <c r="I59" t="s">
        <v>89</v>
      </c>
      <c r="J59" t="s">
        <v>573</v>
      </c>
    </row>
    <row r="60" spans="1:10" x14ac:dyDescent="0.35">
      <c r="A60">
        <v>105793876</v>
      </c>
      <c r="B60" t="s">
        <v>277</v>
      </c>
      <c r="C60" t="s">
        <v>89</v>
      </c>
      <c r="D60" s="2">
        <v>45672.395833333336</v>
      </c>
      <c r="E60" s="2">
        <v>45672.604166666664</v>
      </c>
      <c r="F60" t="s">
        <v>596</v>
      </c>
      <c r="G60" t="s">
        <v>587</v>
      </c>
      <c r="H60" t="s">
        <v>433</v>
      </c>
      <c r="I60" t="s">
        <v>89</v>
      </c>
      <c r="J60" t="s">
        <v>89</v>
      </c>
    </row>
    <row r="61" spans="1:10" x14ac:dyDescent="0.35">
      <c r="A61">
        <v>100516903</v>
      </c>
      <c r="B61" t="s">
        <v>568</v>
      </c>
      <c r="C61" t="s">
        <v>89</v>
      </c>
      <c r="D61" s="2">
        <v>45672.395833333336</v>
      </c>
      <c r="E61" s="2">
        <v>45672.604166666664</v>
      </c>
      <c r="F61" t="s">
        <v>596</v>
      </c>
      <c r="G61" t="s">
        <v>27</v>
      </c>
      <c r="H61" t="s">
        <v>433</v>
      </c>
      <c r="I61" t="s">
        <v>89</v>
      </c>
      <c r="J61" t="s">
        <v>89</v>
      </c>
    </row>
    <row r="62" spans="1:10" x14ac:dyDescent="0.35">
      <c r="A62">
        <v>204758225</v>
      </c>
      <c r="B62" t="s">
        <v>602</v>
      </c>
      <c r="C62" t="s">
        <v>89</v>
      </c>
      <c r="D62" s="2">
        <v>45672.395833333336</v>
      </c>
      <c r="E62" s="2">
        <v>45672.604166666664</v>
      </c>
      <c r="F62" t="s">
        <v>603</v>
      </c>
      <c r="G62" t="s">
        <v>604</v>
      </c>
      <c r="H62" t="s">
        <v>104</v>
      </c>
      <c r="I62" t="s">
        <v>89</v>
      </c>
      <c r="J62" t="s">
        <v>89</v>
      </c>
    </row>
    <row r="63" spans="1:10" x14ac:dyDescent="0.35">
      <c r="A63">
        <v>204319711</v>
      </c>
      <c r="B63" t="s">
        <v>498</v>
      </c>
      <c r="C63" t="s">
        <v>89</v>
      </c>
      <c r="D63" s="2">
        <v>45672.395833333336</v>
      </c>
      <c r="E63" s="2">
        <v>45672.604166666664</v>
      </c>
      <c r="F63" t="s">
        <v>603</v>
      </c>
      <c r="G63" t="s">
        <v>605</v>
      </c>
      <c r="H63" t="s">
        <v>104</v>
      </c>
      <c r="I63" t="s">
        <v>89</v>
      </c>
      <c r="J63" t="s">
        <v>89</v>
      </c>
    </row>
    <row r="64" spans="1:10" x14ac:dyDescent="0.35">
      <c r="A64">
        <v>203886819</v>
      </c>
      <c r="B64" t="s">
        <v>606</v>
      </c>
      <c r="C64" t="s">
        <v>89</v>
      </c>
      <c r="D64" s="2">
        <v>45672.395833333336</v>
      </c>
      <c r="E64" s="2">
        <v>45672.604166666664</v>
      </c>
      <c r="F64" t="s">
        <v>603</v>
      </c>
      <c r="G64" t="s">
        <v>607</v>
      </c>
      <c r="H64" t="s">
        <v>104</v>
      </c>
      <c r="I64" t="s">
        <v>89</v>
      </c>
      <c r="J64" t="s">
        <v>89</v>
      </c>
    </row>
    <row r="65" spans="1:10" x14ac:dyDescent="0.35">
      <c r="A65">
        <v>203651764</v>
      </c>
      <c r="B65" t="s">
        <v>608</v>
      </c>
      <c r="C65" t="s">
        <v>89</v>
      </c>
      <c r="D65" s="2">
        <v>45672.395833333336</v>
      </c>
      <c r="E65" s="2">
        <v>45672.604166666664</v>
      </c>
      <c r="F65" t="s">
        <v>603</v>
      </c>
      <c r="G65" t="s">
        <v>599</v>
      </c>
      <c r="H65" t="s">
        <v>104</v>
      </c>
      <c r="I65" t="s">
        <v>89</v>
      </c>
      <c r="J65" t="s">
        <v>89</v>
      </c>
    </row>
    <row r="66" spans="1:10" x14ac:dyDescent="0.35">
      <c r="A66">
        <v>203651748</v>
      </c>
      <c r="B66" t="s">
        <v>252</v>
      </c>
      <c r="C66" t="s">
        <v>89</v>
      </c>
      <c r="D66" s="2">
        <v>45672.395833333336</v>
      </c>
      <c r="E66" s="2">
        <v>45672.604166666664</v>
      </c>
      <c r="F66" t="s">
        <v>603</v>
      </c>
      <c r="G66" s="3">
        <v>45721</v>
      </c>
      <c r="H66" t="s">
        <v>104</v>
      </c>
      <c r="I66" t="s">
        <v>89</v>
      </c>
      <c r="J66" t="s">
        <v>106</v>
      </c>
    </row>
    <row r="67" spans="1:10" x14ac:dyDescent="0.35">
      <c r="A67">
        <v>203624454</v>
      </c>
      <c r="B67" t="s">
        <v>609</v>
      </c>
      <c r="C67" t="s">
        <v>89</v>
      </c>
      <c r="D67" s="2">
        <v>45672.395833333336</v>
      </c>
      <c r="E67" s="2">
        <v>45672.604166666664</v>
      </c>
      <c r="F67" t="s">
        <v>603</v>
      </c>
      <c r="G67" t="s">
        <v>16</v>
      </c>
      <c r="H67" t="s">
        <v>104</v>
      </c>
      <c r="I67" t="s">
        <v>89</v>
      </c>
      <c r="J67" t="s">
        <v>89</v>
      </c>
    </row>
    <row r="68" spans="1:10" x14ac:dyDescent="0.35">
      <c r="A68">
        <v>203621833</v>
      </c>
      <c r="B68" t="s">
        <v>610</v>
      </c>
      <c r="C68" t="s">
        <v>89</v>
      </c>
      <c r="D68" s="2">
        <v>45672.395833333336</v>
      </c>
      <c r="E68" s="2">
        <v>45672.604166666664</v>
      </c>
      <c r="F68" t="s">
        <v>603</v>
      </c>
      <c r="G68" t="s">
        <v>611</v>
      </c>
      <c r="H68" t="s">
        <v>104</v>
      </c>
      <c r="I68" t="s">
        <v>89</v>
      </c>
      <c r="J68" t="s">
        <v>89</v>
      </c>
    </row>
    <row r="69" spans="1:10" x14ac:dyDescent="0.35">
      <c r="A69">
        <v>203249141</v>
      </c>
      <c r="B69" t="s">
        <v>612</v>
      </c>
      <c r="C69" t="s">
        <v>89</v>
      </c>
      <c r="D69" s="2">
        <v>45672.395833333336</v>
      </c>
      <c r="E69" s="2">
        <v>45672.604166666664</v>
      </c>
      <c r="F69" t="s">
        <v>603</v>
      </c>
      <c r="G69" t="s">
        <v>613</v>
      </c>
      <c r="H69" t="s">
        <v>104</v>
      </c>
      <c r="I69" t="s">
        <v>89</v>
      </c>
      <c r="J69" t="s">
        <v>89</v>
      </c>
    </row>
    <row r="70" spans="1:10" x14ac:dyDescent="0.35">
      <c r="A70">
        <v>202603803</v>
      </c>
      <c r="B70" t="s">
        <v>614</v>
      </c>
      <c r="C70" t="s">
        <v>89</v>
      </c>
      <c r="D70" s="2">
        <v>45672.395833333336</v>
      </c>
      <c r="E70" s="2">
        <v>45672.604166666664</v>
      </c>
      <c r="F70" t="s">
        <v>603</v>
      </c>
      <c r="G70" t="s">
        <v>9</v>
      </c>
      <c r="H70" t="s">
        <v>104</v>
      </c>
      <c r="I70" t="s">
        <v>89</v>
      </c>
      <c r="J70" t="s">
        <v>89</v>
      </c>
    </row>
    <row r="71" spans="1:10" x14ac:dyDescent="0.35">
      <c r="A71">
        <v>202576495</v>
      </c>
      <c r="B71" t="s">
        <v>102</v>
      </c>
      <c r="C71" t="s">
        <v>89</v>
      </c>
      <c r="D71" s="2">
        <v>45672.395833333336</v>
      </c>
      <c r="E71" s="2">
        <v>45672.604166666664</v>
      </c>
      <c r="F71" t="s">
        <v>603</v>
      </c>
      <c r="G71" t="s">
        <v>103</v>
      </c>
      <c r="H71" t="s">
        <v>104</v>
      </c>
      <c r="I71" t="s">
        <v>89</v>
      </c>
      <c r="J71" t="s">
        <v>89</v>
      </c>
    </row>
    <row r="72" spans="1:10" x14ac:dyDescent="0.35">
      <c r="A72">
        <v>202004184</v>
      </c>
      <c r="B72" t="s">
        <v>251</v>
      </c>
      <c r="C72" t="s">
        <v>89</v>
      </c>
      <c r="D72" s="2">
        <v>45672.395833333336</v>
      </c>
      <c r="E72" s="2">
        <v>45672.604166666664</v>
      </c>
      <c r="F72" t="s">
        <v>603</v>
      </c>
      <c r="G72" t="s">
        <v>615</v>
      </c>
      <c r="H72" t="s">
        <v>104</v>
      </c>
      <c r="I72" t="s">
        <v>89</v>
      </c>
      <c r="J72" t="s">
        <v>106</v>
      </c>
    </row>
    <row r="73" spans="1:10" x14ac:dyDescent="0.35">
      <c r="A73">
        <v>200978356</v>
      </c>
      <c r="B73" t="s">
        <v>616</v>
      </c>
      <c r="C73" t="s">
        <v>89</v>
      </c>
      <c r="D73" s="2">
        <v>45672.395833333336</v>
      </c>
      <c r="E73" s="2">
        <v>45672.604166666664</v>
      </c>
      <c r="F73" t="s">
        <v>603</v>
      </c>
      <c r="G73" t="s">
        <v>617</v>
      </c>
      <c r="H73" t="s">
        <v>104</v>
      </c>
      <c r="I73" t="s">
        <v>89</v>
      </c>
      <c r="J73" t="s">
        <v>89</v>
      </c>
    </row>
    <row r="74" spans="1:10" x14ac:dyDescent="0.35">
      <c r="A74">
        <v>200600584</v>
      </c>
      <c r="B74" t="s">
        <v>566</v>
      </c>
      <c r="C74" t="s">
        <v>89</v>
      </c>
      <c r="D74" s="2">
        <v>45672.395833333336</v>
      </c>
      <c r="E74" s="2">
        <v>45672.604166666664</v>
      </c>
      <c r="F74" t="s">
        <v>603</v>
      </c>
      <c r="G74" t="s">
        <v>618</v>
      </c>
      <c r="H74" t="s">
        <v>104</v>
      </c>
      <c r="I74" t="s">
        <v>89</v>
      </c>
      <c r="J74" t="s">
        <v>89</v>
      </c>
    </row>
    <row r="75" spans="1:10" x14ac:dyDescent="0.35">
      <c r="A75">
        <v>200442922</v>
      </c>
      <c r="B75" t="s">
        <v>538</v>
      </c>
      <c r="C75" t="s">
        <v>89</v>
      </c>
      <c r="D75" s="2">
        <v>45672.395833333336</v>
      </c>
      <c r="E75" s="2">
        <v>45672.604166666664</v>
      </c>
      <c r="F75" t="s">
        <v>603</v>
      </c>
      <c r="G75" t="s">
        <v>19</v>
      </c>
      <c r="H75" t="s">
        <v>104</v>
      </c>
      <c r="I75" t="s">
        <v>89</v>
      </c>
      <c r="J75" t="s">
        <v>89</v>
      </c>
    </row>
    <row r="76" spans="1:10" x14ac:dyDescent="0.35">
      <c r="A76">
        <v>203579400</v>
      </c>
      <c r="B76" t="s">
        <v>236</v>
      </c>
      <c r="C76" t="s">
        <v>89</v>
      </c>
      <c r="D76" s="2">
        <v>45672.395833333336</v>
      </c>
      <c r="E76" s="2">
        <v>45672.604166666664</v>
      </c>
      <c r="F76" t="s">
        <v>619</v>
      </c>
      <c r="G76" t="s">
        <v>184</v>
      </c>
      <c r="H76" t="s">
        <v>436</v>
      </c>
      <c r="I76" t="s">
        <v>89</v>
      </c>
      <c r="J76" t="s">
        <v>106</v>
      </c>
    </row>
    <row r="77" spans="1:10" x14ac:dyDescent="0.35">
      <c r="A77">
        <v>202778783</v>
      </c>
      <c r="B77" t="s">
        <v>253</v>
      </c>
      <c r="C77" t="s">
        <v>89</v>
      </c>
      <c r="D77" s="2">
        <v>45672.395833333336</v>
      </c>
      <c r="E77" s="2">
        <v>45672.604166666664</v>
      </c>
      <c r="F77" t="s">
        <v>619</v>
      </c>
      <c r="G77" t="s">
        <v>184</v>
      </c>
      <c r="H77" t="s">
        <v>436</v>
      </c>
      <c r="I77" t="s">
        <v>89</v>
      </c>
      <c r="J77" t="s">
        <v>106</v>
      </c>
    </row>
    <row r="78" spans="1:10" x14ac:dyDescent="0.35">
      <c r="A78">
        <v>202098927</v>
      </c>
      <c r="B78" t="s">
        <v>281</v>
      </c>
      <c r="C78" t="s">
        <v>89</v>
      </c>
      <c r="D78" s="2">
        <v>45672.395833333336</v>
      </c>
      <c r="E78" s="2">
        <v>45672.604166666664</v>
      </c>
      <c r="F78" t="s">
        <v>619</v>
      </c>
      <c r="G78" t="s">
        <v>620</v>
      </c>
      <c r="H78" t="s">
        <v>436</v>
      </c>
      <c r="I78" t="s">
        <v>89</v>
      </c>
      <c r="J78" t="s">
        <v>89</v>
      </c>
    </row>
    <row r="79" spans="1:10" x14ac:dyDescent="0.35">
      <c r="A79">
        <v>200760737</v>
      </c>
      <c r="B79" t="s">
        <v>220</v>
      </c>
      <c r="C79" t="s">
        <v>89</v>
      </c>
      <c r="D79" s="2">
        <v>45672.395833333336</v>
      </c>
      <c r="E79" s="2">
        <v>45672.604166666664</v>
      </c>
      <c r="F79" t="s">
        <v>619</v>
      </c>
      <c r="G79" t="s">
        <v>184</v>
      </c>
      <c r="H79" t="s">
        <v>436</v>
      </c>
      <c r="I79" t="s">
        <v>89</v>
      </c>
      <c r="J79" t="s">
        <v>621</v>
      </c>
    </row>
    <row r="80" spans="1:10" x14ac:dyDescent="0.35">
      <c r="A80">
        <v>109278268</v>
      </c>
      <c r="B80" t="s">
        <v>513</v>
      </c>
      <c r="C80" t="s">
        <v>89</v>
      </c>
      <c r="D80" s="2">
        <v>45672.395833333336</v>
      </c>
      <c r="E80" s="2">
        <v>45672.604166666664</v>
      </c>
      <c r="F80" t="s">
        <v>619</v>
      </c>
      <c r="G80" t="s">
        <v>87</v>
      </c>
      <c r="H80" t="s">
        <v>436</v>
      </c>
      <c r="I80" t="s">
        <v>89</v>
      </c>
      <c r="J80" t="s">
        <v>89</v>
      </c>
    </row>
    <row r="81" spans="1:10" x14ac:dyDescent="0.35">
      <c r="A81">
        <v>111292386</v>
      </c>
      <c r="B81" t="s">
        <v>622</v>
      </c>
      <c r="C81" t="s">
        <v>89</v>
      </c>
      <c r="D81" s="2">
        <v>45672.375</v>
      </c>
      <c r="E81" s="2">
        <v>45672.8125</v>
      </c>
      <c r="F81" t="s">
        <v>623</v>
      </c>
      <c r="G81" t="s">
        <v>624</v>
      </c>
      <c r="H81" t="s">
        <v>625</v>
      </c>
      <c r="I81" t="s">
        <v>89</v>
      </c>
      <c r="J81" t="s">
        <v>581</v>
      </c>
    </row>
    <row r="82" spans="1:10" x14ac:dyDescent="0.35">
      <c r="A82">
        <v>203181852</v>
      </c>
      <c r="B82" t="s">
        <v>626</v>
      </c>
      <c r="C82" t="s">
        <v>581</v>
      </c>
      <c r="D82" s="2">
        <v>45672.25</v>
      </c>
      <c r="E82" s="2">
        <v>45672.6875</v>
      </c>
      <c r="F82" t="s">
        <v>627</v>
      </c>
      <c r="G82" t="s">
        <v>184</v>
      </c>
      <c r="H82" t="s">
        <v>628</v>
      </c>
      <c r="I82" t="s">
        <v>581</v>
      </c>
    </row>
    <row r="83" spans="1:10" x14ac:dyDescent="0.35">
      <c r="A83">
        <v>200973527</v>
      </c>
      <c r="B83" t="s">
        <v>182</v>
      </c>
      <c r="C83" t="s">
        <v>89</v>
      </c>
      <c r="D83" s="2">
        <v>45672.4375</v>
      </c>
      <c r="E83" s="2">
        <v>45672.875</v>
      </c>
      <c r="F83" t="s">
        <v>183</v>
      </c>
      <c r="G83" t="s">
        <v>184</v>
      </c>
      <c r="H83" t="s">
        <v>185</v>
      </c>
      <c r="I83" t="s">
        <v>89</v>
      </c>
      <c r="J83" t="s">
        <v>89</v>
      </c>
    </row>
    <row r="84" spans="1:10" x14ac:dyDescent="0.35">
      <c r="A84">
        <v>111717098</v>
      </c>
      <c r="B84" t="s">
        <v>259</v>
      </c>
      <c r="C84" t="s">
        <v>89</v>
      </c>
      <c r="D84" s="2">
        <v>45672.395833333336</v>
      </c>
      <c r="E84" s="2">
        <v>45672.833333333336</v>
      </c>
      <c r="F84" t="s">
        <v>629</v>
      </c>
      <c r="G84" t="s">
        <v>184</v>
      </c>
      <c r="H84" t="s">
        <v>437</v>
      </c>
      <c r="I84" t="s">
        <v>89</v>
      </c>
      <c r="J84" t="s">
        <v>630</v>
      </c>
    </row>
    <row r="85" spans="1:10" x14ac:dyDescent="0.35">
      <c r="A85">
        <v>111576473</v>
      </c>
      <c r="B85" t="s">
        <v>202</v>
      </c>
      <c r="C85" t="s">
        <v>89</v>
      </c>
      <c r="D85" s="2">
        <v>45672.395833333336</v>
      </c>
      <c r="E85" s="2">
        <v>45672.833333333336</v>
      </c>
      <c r="F85" t="s">
        <v>629</v>
      </c>
      <c r="G85" t="s">
        <v>184</v>
      </c>
      <c r="H85" t="s">
        <v>437</v>
      </c>
      <c r="I85" t="s">
        <v>89</v>
      </c>
      <c r="J85" t="s">
        <v>106</v>
      </c>
    </row>
    <row r="86" spans="1:10" x14ac:dyDescent="0.35">
      <c r="A86">
        <v>111540524</v>
      </c>
      <c r="B86" t="s">
        <v>231</v>
      </c>
      <c r="C86" t="s">
        <v>89</v>
      </c>
      <c r="D86" s="2">
        <v>45672.395833333336</v>
      </c>
      <c r="E86" s="2">
        <v>45672.833333333336</v>
      </c>
      <c r="F86" t="s">
        <v>629</v>
      </c>
      <c r="G86" t="s">
        <v>631</v>
      </c>
      <c r="H86" t="s">
        <v>437</v>
      </c>
      <c r="I86" t="s">
        <v>89</v>
      </c>
      <c r="J86" t="s">
        <v>111</v>
      </c>
    </row>
    <row r="87" spans="1:10" x14ac:dyDescent="0.35">
      <c r="A87">
        <v>111540520</v>
      </c>
      <c r="B87" t="s">
        <v>274</v>
      </c>
      <c r="C87" t="s">
        <v>89</v>
      </c>
      <c r="D87" s="2">
        <v>45672.395833333336</v>
      </c>
      <c r="E87" s="2">
        <v>45672.833333333336</v>
      </c>
      <c r="F87" t="s">
        <v>629</v>
      </c>
      <c r="G87" t="s">
        <v>120</v>
      </c>
      <c r="H87" t="s">
        <v>437</v>
      </c>
      <c r="I87" t="s">
        <v>89</v>
      </c>
      <c r="J87" t="s">
        <v>621</v>
      </c>
    </row>
    <row r="88" spans="1:10" x14ac:dyDescent="0.35">
      <c r="A88">
        <v>111382966</v>
      </c>
      <c r="B88" t="s">
        <v>266</v>
      </c>
      <c r="C88" t="s">
        <v>89</v>
      </c>
      <c r="D88" s="2">
        <v>45672.395833333336</v>
      </c>
      <c r="E88" s="2">
        <v>45672.833333333336</v>
      </c>
      <c r="F88" t="s">
        <v>629</v>
      </c>
      <c r="G88" t="s">
        <v>632</v>
      </c>
      <c r="H88" t="s">
        <v>437</v>
      </c>
      <c r="I88" t="s">
        <v>89</v>
      </c>
      <c r="J88" t="s">
        <v>575</v>
      </c>
    </row>
    <row r="89" spans="1:10" x14ac:dyDescent="0.35">
      <c r="A89">
        <v>110558077</v>
      </c>
      <c r="B89" t="s">
        <v>197</v>
      </c>
      <c r="C89" t="s">
        <v>89</v>
      </c>
      <c r="D89" s="2">
        <v>45672.395833333336</v>
      </c>
      <c r="E89" s="2">
        <v>45672.833333333336</v>
      </c>
      <c r="F89" t="s">
        <v>629</v>
      </c>
      <c r="G89" t="s">
        <v>633</v>
      </c>
      <c r="H89" t="s">
        <v>437</v>
      </c>
      <c r="I89" t="s">
        <v>89</v>
      </c>
      <c r="J89" t="s">
        <v>106</v>
      </c>
    </row>
    <row r="90" spans="1:10" x14ac:dyDescent="0.35">
      <c r="A90">
        <v>108586634</v>
      </c>
      <c r="B90" t="s">
        <v>291</v>
      </c>
      <c r="C90" t="s">
        <v>89</v>
      </c>
      <c r="D90" s="2">
        <v>45672.395833333336</v>
      </c>
      <c r="E90" s="2">
        <v>45672.833333333336</v>
      </c>
      <c r="F90" t="s">
        <v>629</v>
      </c>
      <c r="G90" t="s">
        <v>184</v>
      </c>
      <c r="H90" t="s">
        <v>437</v>
      </c>
      <c r="I90" t="s">
        <v>89</v>
      </c>
      <c r="J90" t="s">
        <v>106</v>
      </c>
    </row>
    <row r="91" spans="1:10" x14ac:dyDescent="0.35">
      <c r="A91">
        <v>200970575</v>
      </c>
      <c r="B91" t="s">
        <v>107</v>
      </c>
      <c r="C91" t="s">
        <v>89</v>
      </c>
      <c r="D91" s="2">
        <v>45672.375</v>
      </c>
      <c r="E91" s="2">
        <v>45672.8125</v>
      </c>
      <c r="F91" t="s">
        <v>634</v>
      </c>
      <c r="G91" t="s">
        <v>184</v>
      </c>
      <c r="H91" t="s">
        <v>108</v>
      </c>
      <c r="I91" t="s">
        <v>89</v>
      </c>
      <c r="J91" t="s">
        <v>89</v>
      </c>
    </row>
    <row r="92" spans="1:10" x14ac:dyDescent="0.35">
      <c r="A92">
        <v>110592641</v>
      </c>
      <c r="B92" t="s">
        <v>635</v>
      </c>
      <c r="C92" t="s">
        <v>581</v>
      </c>
      <c r="D92" s="2">
        <v>45672.375</v>
      </c>
      <c r="E92" s="2">
        <v>45672.8125</v>
      </c>
      <c r="F92" t="s">
        <v>634</v>
      </c>
      <c r="G92">
        <v>53</v>
      </c>
      <c r="H92" t="s">
        <v>108</v>
      </c>
      <c r="I92" t="s">
        <v>581</v>
      </c>
      <c r="J92" t="s">
        <v>581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5.OpenSSPOT">
                <anchor moveWithCells="1" sizeWithCells="1">
                  <from>
                    <xdr:col>13</xdr:col>
                    <xdr:colOff>6350</xdr:colOff>
                    <xdr:row>0</xdr:row>
                    <xdr:rowOff>101600</xdr:rowOff>
                  </from>
                  <to>
                    <xdr:col>15</xdr:col>
                    <xdr:colOff>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 moveWithCells="1" sizeWithCells="1">
                  <from>
                    <xdr:col>13</xdr:col>
                    <xdr:colOff>6350</xdr:colOff>
                    <xdr:row>3</xdr:row>
                    <xdr:rowOff>12700</xdr:rowOff>
                  </from>
                  <to>
                    <xdr:col>15</xdr:col>
                    <xdr:colOff>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13</xdr:col>
                    <xdr:colOff>0</xdr:colOff>
                    <xdr:row>5</xdr:row>
                    <xdr:rowOff>127000</xdr:rowOff>
                  </from>
                  <to>
                    <xdr:col>14</xdr:col>
                    <xdr:colOff>603250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3320-93C4-484D-A47E-ADB4D41E1365}">
  <sheetPr codeName="Sheet6"/>
  <dimension ref="A1:P348"/>
  <sheetViews>
    <sheetView workbookViewId="0">
      <selection activeCell="W8" sqref="W8"/>
    </sheetView>
  </sheetViews>
  <sheetFormatPr defaultRowHeight="14.5" x14ac:dyDescent="0.35"/>
  <cols>
    <col min="1" max="1" width="12.7265625" bestFit="1" customWidth="1"/>
    <col min="2" max="2" width="11.81640625" bestFit="1" customWidth="1"/>
    <col min="5" max="5" width="10" bestFit="1" customWidth="1"/>
    <col min="6" max="6" width="14.6328125" bestFit="1" customWidth="1"/>
    <col min="7" max="7" width="9.453125" bestFit="1" customWidth="1"/>
    <col min="8" max="8" width="14.6328125" bestFit="1" customWidth="1"/>
    <col min="9" max="9" width="11.26953125" bestFit="1" customWidth="1"/>
    <col min="10" max="10" width="14.6328125" bestFit="1" customWidth="1"/>
    <col min="12" max="12" width="16" bestFit="1" customWidth="1"/>
    <col min="14" max="14" width="14.6328125" bestFit="1" customWidth="1"/>
    <col min="16" max="16" width="16" bestFit="1" customWidth="1"/>
  </cols>
  <sheetData>
    <row r="1" spans="1:16" ht="15" thickBot="1" x14ac:dyDescent="0.4">
      <c r="A1" s="17" t="s">
        <v>209</v>
      </c>
      <c r="B1" s="17" t="s">
        <v>210</v>
      </c>
      <c r="C1" s="17" t="s">
        <v>209</v>
      </c>
      <c r="D1" s="17" t="s">
        <v>210</v>
      </c>
      <c r="E1" s="17" t="s">
        <v>209</v>
      </c>
      <c r="F1" s="17" t="s">
        <v>210</v>
      </c>
      <c r="G1" s="17" t="s">
        <v>209</v>
      </c>
      <c r="H1" s="17" t="s">
        <v>210</v>
      </c>
      <c r="I1" s="1"/>
    </row>
    <row r="2" spans="1:16" x14ac:dyDescent="0.35">
      <c r="A2" t="s">
        <v>109</v>
      </c>
      <c r="B2" t="s">
        <v>188</v>
      </c>
      <c r="C2" t="s">
        <v>211</v>
      </c>
      <c r="D2" t="s">
        <v>188</v>
      </c>
      <c r="E2" t="s">
        <v>202</v>
      </c>
      <c r="F2" t="s">
        <v>188</v>
      </c>
      <c r="G2" t="s">
        <v>155</v>
      </c>
      <c r="H2" t="s">
        <v>188</v>
      </c>
      <c r="J2" s="63" t="s">
        <v>400</v>
      </c>
      <c r="K2" s="64"/>
      <c r="L2" s="65"/>
      <c r="N2" s="63" t="s">
        <v>402</v>
      </c>
      <c r="O2" s="64"/>
      <c r="P2" s="65"/>
    </row>
    <row r="3" spans="1:16" x14ac:dyDescent="0.35">
      <c r="A3" t="s">
        <v>294</v>
      </c>
      <c r="B3" t="s">
        <v>188</v>
      </c>
      <c r="C3" t="s">
        <v>212</v>
      </c>
      <c r="D3" t="s">
        <v>188</v>
      </c>
      <c r="E3" t="s">
        <v>351</v>
      </c>
      <c r="F3" t="s">
        <v>188</v>
      </c>
      <c r="G3" t="s">
        <v>151</v>
      </c>
      <c r="H3" t="s">
        <v>188</v>
      </c>
      <c r="J3" s="5"/>
      <c r="K3" s="7" t="s">
        <v>398</v>
      </c>
      <c r="L3" s="8" t="s">
        <v>399</v>
      </c>
      <c r="N3" s="5"/>
      <c r="O3" s="7" t="s">
        <v>398</v>
      </c>
      <c r="P3" s="8" t="s">
        <v>399</v>
      </c>
    </row>
    <row r="4" spans="1:16" x14ac:dyDescent="0.35">
      <c r="A4" t="s">
        <v>295</v>
      </c>
      <c r="B4" t="s">
        <v>188</v>
      </c>
      <c r="C4" t="s">
        <v>213</v>
      </c>
      <c r="D4" t="s">
        <v>188</v>
      </c>
      <c r="E4" t="s">
        <v>201</v>
      </c>
      <c r="F4" t="s">
        <v>188</v>
      </c>
      <c r="G4" t="s">
        <v>377</v>
      </c>
      <c r="H4" t="s">
        <v>188</v>
      </c>
      <c r="J4" s="14" t="s">
        <v>188</v>
      </c>
      <c r="K4" s="15">
        <f t="shared" ref="K4:K19" si="0">COUNTIF(B:B, J4)</f>
        <v>7</v>
      </c>
      <c r="L4" s="16">
        <f>IFERROR(MATCH(J4,B:B,0),-1)</f>
        <v>2</v>
      </c>
      <c r="N4" s="14" t="s">
        <v>188</v>
      </c>
      <c r="O4" s="15">
        <f>COUNTIF(F:F, N4)</f>
        <v>6</v>
      </c>
      <c r="P4" s="16">
        <f>IFERROR(MATCH(N4,F:F,0),-1)</f>
        <v>2</v>
      </c>
    </row>
    <row r="5" spans="1:16" x14ac:dyDescent="0.35">
      <c r="A5" t="s">
        <v>296</v>
      </c>
      <c r="B5" t="s">
        <v>188</v>
      </c>
      <c r="C5" t="s">
        <v>214</v>
      </c>
      <c r="D5" t="s">
        <v>188</v>
      </c>
      <c r="E5" t="s">
        <v>200</v>
      </c>
      <c r="F5" t="s">
        <v>188</v>
      </c>
      <c r="G5" t="s">
        <v>378</v>
      </c>
      <c r="H5" t="s">
        <v>188</v>
      </c>
      <c r="J5" s="9" t="s">
        <v>221</v>
      </c>
      <c r="K5" s="10">
        <f t="shared" si="0"/>
        <v>18</v>
      </c>
      <c r="L5" s="4">
        <f t="shared" ref="L5:L19" si="1">IFERROR(MATCH(J5,B:B,0),-1)</f>
        <v>9</v>
      </c>
      <c r="N5" s="9" t="s">
        <v>221</v>
      </c>
      <c r="O5" s="10">
        <f t="shared" ref="O5:O19" si="2">COUNTIF(F:F, N5)</f>
        <v>8</v>
      </c>
      <c r="P5" s="4">
        <f t="shared" ref="P5:P19" si="3">IFERROR(MATCH(N5,F:F,0),-1)</f>
        <v>8</v>
      </c>
    </row>
    <row r="6" spans="1:16" x14ac:dyDescent="0.35">
      <c r="A6" t="s">
        <v>297</v>
      </c>
      <c r="B6" t="s">
        <v>188</v>
      </c>
      <c r="C6" t="s">
        <v>202</v>
      </c>
      <c r="D6" t="s">
        <v>188</v>
      </c>
      <c r="E6" t="s">
        <v>204</v>
      </c>
      <c r="F6" t="s">
        <v>188</v>
      </c>
      <c r="G6" t="s">
        <v>143</v>
      </c>
      <c r="H6" t="s">
        <v>188</v>
      </c>
      <c r="J6" s="14" t="s">
        <v>233</v>
      </c>
      <c r="K6" s="15">
        <f t="shared" si="0"/>
        <v>9</v>
      </c>
      <c r="L6" s="16">
        <f t="shared" si="1"/>
        <v>27</v>
      </c>
      <c r="N6" s="14" t="s">
        <v>233</v>
      </c>
      <c r="O6" s="15">
        <f t="shared" si="2"/>
        <v>10</v>
      </c>
      <c r="P6" s="16">
        <f t="shared" si="3"/>
        <v>16</v>
      </c>
    </row>
    <row r="7" spans="1:16" x14ac:dyDescent="0.35">
      <c r="A7" t="s">
        <v>293</v>
      </c>
      <c r="B7" t="s">
        <v>188</v>
      </c>
      <c r="C7" t="s">
        <v>215</v>
      </c>
      <c r="D7" t="s">
        <v>188</v>
      </c>
      <c r="E7" t="s">
        <v>208</v>
      </c>
      <c r="F7" t="s">
        <v>188</v>
      </c>
      <c r="G7" t="s">
        <v>152</v>
      </c>
      <c r="H7" t="s">
        <v>188</v>
      </c>
      <c r="J7" s="9" t="s">
        <v>186</v>
      </c>
      <c r="K7" s="10">
        <f t="shared" si="0"/>
        <v>27</v>
      </c>
      <c r="L7" s="4">
        <f t="shared" si="1"/>
        <v>37</v>
      </c>
      <c r="N7" s="9" t="s">
        <v>186</v>
      </c>
      <c r="O7" s="10">
        <f t="shared" si="2"/>
        <v>15</v>
      </c>
      <c r="P7" s="4">
        <f t="shared" si="3"/>
        <v>26</v>
      </c>
    </row>
    <row r="8" spans="1:16" x14ac:dyDescent="0.35">
      <c r="A8" t="s">
        <v>298</v>
      </c>
      <c r="B8" t="s">
        <v>188</v>
      </c>
      <c r="C8" t="s">
        <v>216</v>
      </c>
      <c r="D8" t="s">
        <v>188</v>
      </c>
      <c r="E8" t="s">
        <v>197</v>
      </c>
      <c r="F8" t="s">
        <v>221</v>
      </c>
      <c r="G8" t="s">
        <v>135</v>
      </c>
      <c r="H8" t="s">
        <v>188</v>
      </c>
      <c r="J8" s="14" t="s">
        <v>187</v>
      </c>
      <c r="K8" s="15">
        <f t="shared" si="0"/>
        <v>7</v>
      </c>
      <c r="L8" s="16">
        <f t="shared" si="1"/>
        <v>65</v>
      </c>
      <c r="N8" s="14" t="s">
        <v>187</v>
      </c>
      <c r="O8" s="15">
        <f t="shared" si="2"/>
        <v>8</v>
      </c>
      <c r="P8" s="16">
        <f t="shared" si="3"/>
        <v>41</v>
      </c>
    </row>
    <row r="9" spans="1:16" x14ac:dyDescent="0.35">
      <c r="A9" t="s">
        <v>299</v>
      </c>
      <c r="B9" t="s">
        <v>221</v>
      </c>
      <c r="C9" t="s">
        <v>217</v>
      </c>
      <c r="D9" t="s">
        <v>188</v>
      </c>
      <c r="E9" t="s">
        <v>202</v>
      </c>
      <c r="F9" t="s">
        <v>221</v>
      </c>
      <c r="G9" t="s">
        <v>172</v>
      </c>
      <c r="H9" t="s">
        <v>188</v>
      </c>
      <c r="J9" s="9" t="s">
        <v>257</v>
      </c>
      <c r="K9" s="10">
        <f t="shared" si="0"/>
        <v>18</v>
      </c>
      <c r="L9" s="4">
        <f t="shared" si="1"/>
        <v>72</v>
      </c>
      <c r="N9" s="9" t="s">
        <v>257</v>
      </c>
      <c r="O9" s="10">
        <f t="shared" si="2"/>
        <v>10</v>
      </c>
      <c r="P9" s="4">
        <f t="shared" si="3"/>
        <v>49</v>
      </c>
    </row>
    <row r="10" spans="1:16" x14ac:dyDescent="0.35">
      <c r="A10" t="s">
        <v>294</v>
      </c>
      <c r="B10" t="s">
        <v>221</v>
      </c>
      <c r="C10" t="s">
        <v>218</v>
      </c>
      <c r="D10" t="s">
        <v>188</v>
      </c>
      <c r="E10" t="s">
        <v>352</v>
      </c>
      <c r="F10" t="s">
        <v>221</v>
      </c>
      <c r="G10" t="s">
        <v>135</v>
      </c>
      <c r="H10" t="s">
        <v>221</v>
      </c>
      <c r="J10" s="14" t="s">
        <v>60</v>
      </c>
      <c r="K10" s="15">
        <f t="shared" si="0"/>
        <v>15</v>
      </c>
      <c r="L10" s="16">
        <f t="shared" si="1"/>
        <v>90</v>
      </c>
      <c r="N10" s="14" t="s">
        <v>60</v>
      </c>
      <c r="O10" s="15">
        <f t="shared" si="2"/>
        <v>9</v>
      </c>
      <c r="P10" s="16">
        <f t="shared" si="3"/>
        <v>59</v>
      </c>
    </row>
    <row r="11" spans="1:16" x14ac:dyDescent="0.35">
      <c r="A11" t="s">
        <v>297</v>
      </c>
      <c r="B11" t="s">
        <v>221</v>
      </c>
      <c r="C11" t="s">
        <v>219</v>
      </c>
      <c r="D11" t="s">
        <v>188</v>
      </c>
      <c r="E11" t="s">
        <v>353</v>
      </c>
      <c r="F11" t="s">
        <v>221</v>
      </c>
      <c r="G11" t="s">
        <v>132</v>
      </c>
      <c r="H11" t="s">
        <v>221</v>
      </c>
      <c r="J11" s="9" t="s">
        <v>333</v>
      </c>
      <c r="K11" s="10">
        <f t="shared" si="0"/>
        <v>3</v>
      </c>
      <c r="L11" s="4">
        <f t="shared" si="1"/>
        <v>105</v>
      </c>
      <c r="N11" s="9" t="s">
        <v>333</v>
      </c>
      <c r="O11" s="10">
        <f t="shared" si="2"/>
        <v>1</v>
      </c>
      <c r="P11" s="4">
        <f t="shared" si="3"/>
        <v>68</v>
      </c>
    </row>
    <row r="12" spans="1:16" x14ac:dyDescent="0.35">
      <c r="A12" t="s">
        <v>293</v>
      </c>
      <c r="B12" t="s">
        <v>221</v>
      </c>
      <c r="C12" t="s">
        <v>220</v>
      </c>
      <c r="D12" t="s">
        <v>188</v>
      </c>
      <c r="E12" t="s">
        <v>206</v>
      </c>
      <c r="F12" t="s">
        <v>221</v>
      </c>
      <c r="G12" t="s">
        <v>131</v>
      </c>
      <c r="H12" t="s">
        <v>221</v>
      </c>
      <c r="J12" s="14" t="s">
        <v>71</v>
      </c>
      <c r="K12" s="15">
        <f t="shared" si="0"/>
        <v>18</v>
      </c>
      <c r="L12" s="16">
        <f t="shared" si="1"/>
        <v>108</v>
      </c>
      <c r="N12" s="14" t="s">
        <v>71</v>
      </c>
      <c r="O12" s="15">
        <f t="shared" si="2"/>
        <v>15</v>
      </c>
      <c r="P12" s="16">
        <f t="shared" si="3"/>
        <v>69</v>
      </c>
    </row>
    <row r="13" spans="1:16" x14ac:dyDescent="0.35">
      <c r="A13" t="s">
        <v>300</v>
      </c>
      <c r="B13" t="s">
        <v>221</v>
      </c>
      <c r="C13" t="s">
        <v>208</v>
      </c>
      <c r="D13" t="s">
        <v>188</v>
      </c>
      <c r="E13" t="s">
        <v>201</v>
      </c>
      <c r="F13" t="s">
        <v>221</v>
      </c>
      <c r="G13" t="s">
        <v>155</v>
      </c>
      <c r="H13" t="s">
        <v>221</v>
      </c>
      <c r="J13" s="9" t="s">
        <v>73</v>
      </c>
      <c r="K13" s="10">
        <f t="shared" si="0"/>
        <v>15</v>
      </c>
      <c r="L13" s="4">
        <f t="shared" si="1"/>
        <v>126</v>
      </c>
      <c r="N13" s="9" t="s">
        <v>73</v>
      </c>
      <c r="O13" s="10">
        <f t="shared" si="2"/>
        <v>10</v>
      </c>
      <c r="P13" s="4">
        <f t="shared" si="3"/>
        <v>84</v>
      </c>
    </row>
    <row r="14" spans="1:16" x14ac:dyDescent="0.35">
      <c r="A14" t="s">
        <v>301</v>
      </c>
      <c r="B14" t="s">
        <v>221</v>
      </c>
      <c r="C14" t="s">
        <v>211</v>
      </c>
      <c r="D14" t="s">
        <v>221</v>
      </c>
      <c r="E14" t="s">
        <v>200</v>
      </c>
      <c r="F14" t="s">
        <v>221</v>
      </c>
      <c r="G14" t="s">
        <v>161</v>
      </c>
      <c r="H14" t="s">
        <v>221</v>
      </c>
      <c r="J14" s="14" t="s">
        <v>267</v>
      </c>
      <c r="K14" s="15">
        <f t="shared" si="0"/>
        <v>17</v>
      </c>
      <c r="L14" s="16">
        <f t="shared" si="1"/>
        <v>141</v>
      </c>
      <c r="N14" s="14" t="s">
        <v>267</v>
      </c>
      <c r="O14" s="15">
        <f t="shared" si="2"/>
        <v>1</v>
      </c>
      <c r="P14" s="16">
        <f t="shared" si="3"/>
        <v>94</v>
      </c>
    </row>
    <row r="15" spans="1:16" x14ac:dyDescent="0.35">
      <c r="A15" t="s">
        <v>302</v>
      </c>
      <c r="B15" t="s">
        <v>221</v>
      </c>
      <c r="C15" t="s">
        <v>222</v>
      </c>
      <c r="D15" t="s">
        <v>221</v>
      </c>
      <c r="E15" t="s">
        <v>351</v>
      </c>
      <c r="F15" t="s">
        <v>221</v>
      </c>
      <c r="G15" t="s">
        <v>178</v>
      </c>
      <c r="H15" t="s">
        <v>221</v>
      </c>
      <c r="J15" s="9" t="s">
        <v>272</v>
      </c>
      <c r="K15" s="10">
        <f t="shared" si="0"/>
        <v>38</v>
      </c>
      <c r="L15" s="4">
        <f t="shared" si="1"/>
        <v>158</v>
      </c>
      <c r="N15" s="9" t="s">
        <v>272</v>
      </c>
      <c r="O15" s="10">
        <f t="shared" si="2"/>
        <v>23</v>
      </c>
      <c r="P15" s="4">
        <f t="shared" si="3"/>
        <v>96</v>
      </c>
    </row>
    <row r="16" spans="1:16" x14ac:dyDescent="0.35">
      <c r="A16" t="s">
        <v>105</v>
      </c>
      <c r="B16" t="s">
        <v>221</v>
      </c>
      <c r="C16" t="s">
        <v>223</v>
      </c>
      <c r="D16" t="s">
        <v>221</v>
      </c>
      <c r="E16" t="s">
        <v>197</v>
      </c>
      <c r="F16" t="s">
        <v>233</v>
      </c>
      <c r="G16" t="s">
        <v>173</v>
      </c>
      <c r="H16" t="s">
        <v>221</v>
      </c>
      <c r="J16" s="14" t="s">
        <v>288</v>
      </c>
      <c r="K16" s="15">
        <f t="shared" si="0"/>
        <v>11</v>
      </c>
      <c r="L16" s="16">
        <f t="shared" si="1"/>
        <v>196</v>
      </c>
      <c r="N16" s="14" t="s">
        <v>288</v>
      </c>
      <c r="O16" s="15">
        <f t="shared" si="2"/>
        <v>8</v>
      </c>
      <c r="P16" s="16">
        <f t="shared" si="3"/>
        <v>119</v>
      </c>
    </row>
    <row r="17" spans="1:16" x14ac:dyDescent="0.35">
      <c r="A17" t="s">
        <v>303</v>
      </c>
      <c r="B17" t="s">
        <v>221</v>
      </c>
      <c r="C17" t="s">
        <v>212</v>
      </c>
      <c r="D17" t="s">
        <v>221</v>
      </c>
      <c r="E17" t="s">
        <v>354</v>
      </c>
      <c r="F17" t="s">
        <v>233</v>
      </c>
      <c r="G17" t="s">
        <v>379</v>
      </c>
      <c r="H17" t="s">
        <v>221</v>
      </c>
      <c r="J17" s="9" t="s">
        <v>290</v>
      </c>
      <c r="K17" s="10">
        <f t="shared" si="0"/>
        <v>6</v>
      </c>
      <c r="L17" s="4">
        <f t="shared" si="1"/>
        <v>207</v>
      </c>
      <c r="N17" s="9" t="s">
        <v>290</v>
      </c>
      <c r="O17" s="10">
        <f t="shared" si="2"/>
        <v>5</v>
      </c>
      <c r="P17" s="4">
        <f t="shared" si="3"/>
        <v>127</v>
      </c>
    </row>
    <row r="18" spans="1:16" x14ac:dyDescent="0.35">
      <c r="A18" t="s">
        <v>295</v>
      </c>
      <c r="B18" t="s">
        <v>221</v>
      </c>
      <c r="C18" t="s">
        <v>224</v>
      </c>
      <c r="D18" t="s">
        <v>221</v>
      </c>
      <c r="E18" t="s">
        <v>355</v>
      </c>
      <c r="F18" t="s">
        <v>233</v>
      </c>
      <c r="G18" t="s">
        <v>159</v>
      </c>
      <c r="H18" t="s">
        <v>221</v>
      </c>
      <c r="J18" s="14" t="s">
        <v>72</v>
      </c>
      <c r="K18" s="15">
        <f t="shared" si="0"/>
        <v>30</v>
      </c>
      <c r="L18" s="16">
        <f t="shared" si="1"/>
        <v>213</v>
      </c>
      <c r="N18" s="14" t="s">
        <v>72</v>
      </c>
      <c r="O18" s="15">
        <f t="shared" si="2"/>
        <v>18</v>
      </c>
      <c r="P18" s="16">
        <f t="shared" si="3"/>
        <v>132</v>
      </c>
    </row>
    <row r="19" spans="1:16" ht="15" thickBot="1" x14ac:dyDescent="0.4">
      <c r="A19" t="s">
        <v>304</v>
      </c>
      <c r="B19" t="s">
        <v>221</v>
      </c>
      <c r="C19" t="s">
        <v>225</v>
      </c>
      <c r="D19" t="s">
        <v>221</v>
      </c>
      <c r="E19" t="s">
        <v>351</v>
      </c>
      <c r="F19" t="s">
        <v>233</v>
      </c>
      <c r="G19" t="s">
        <v>151</v>
      </c>
      <c r="H19" t="s">
        <v>221</v>
      </c>
      <c r="J19" s="11" t="s">
        <v>66</v>
      </c>
      <c r="K19" s="12">
        <f t="shared" si="0"/>
        <v>9</v>
      </c>
      <c r="L19" s="13">
        <f t="shared" si="1"/>
        <v>243</v>
      </c>
      <c r="N19" s="11" t="s">
        <v>66</v>
      </c>
      <c r="O19" s="12">
        <f t="shared" si="2"/>
        <v>11</v>
      </c>
      <c r="P19" s="13">
        <f t="shared" si="3"/>
        <v>150</v>
      </c>
    </row>
    <row r="20" spans="1:16" ht="15" thickBot="1" x14ac:dyDescent="0.4">
      <c r="A20" t="s">
        <v>305</v>
      </c>
      <c r="B20" t="s">
        <v>221</v>
      </c>
      <c r="C20" t="s">
        <v>220</v>
      </c>
      <c r="D20" t="s">
        <v>221</v>
      </c>
      <c r="E20" t="s">
        <v>202</v>
      </c>
      <c r="F20" t="s">
        <v>233</v>
      </c>
      <c r="G20" t="s">
        <v>377</v>
      </c>
      <c r="H20" t="s">
        <v>221</v>
      </c>
    </row>
    <row r="21" spans="1:16" x14ac:dyDescent="0.35">
      <c r="A21" t="s">
        <v>306</v>
      </c>
      <c r="B21" t="s">
        <v>221</v>
      </c>
      <c r="C21" t="s">
        <v>213</v>
      </c>
      <c r="D21" t="s">
        <v>221</v>
      </c>
      <c r="E21" t="s">
        <v>204</v>
      </c>
      <c r="F21" t="s">
        <v>233</v>
      </c>
      <c r="G21" t="s">
        <v>378</v>
      </c>
      <c r="H21" t="s">
        <v>221</v>
      </c>
      <c r="J21" s="63" t="s">
        <v>401</v>
      </c>
      <c r="K21" s="64"/>
      <c r="L21" s="65"/>
      <c r="N21" s="63" t="s">
        <v>403</v>
      </c>
      <c r="O21" s="64"/>
      <c r="P21" s="65"/>
    </row>
    <row r="22" spans="1:16" x14ac:dyDescent="0.35">
      <c r="A22" t="s">
        <v>296</v>
      </c>
      <c r="B22" t="s">
        <v>221</v>
      </c>
      <c r="C22" t="s">
        <v>214</v>
      </c>
      <c r="D22" t="s">
        <v>221</v>
      </c>
      <c r="E22" t="s">
        <v>291</v>
      </c>
      <c r="F22" t="s">
        <v>233</v>
      </c>
      <c r="G22" t="s">
        <v>143</v>
      </c>
      <c r="H22" t="s">
        <v>221</v>
      </c>
      <c r="J22" s="5"/>
      <c r="K22" s="7" t="s">
        <v>398</v>
      </c>
      <c r="L22" s="8" t="s">
        <v>399</v>
      </c>
      <c r="N22" s="5"/>
      <c r="O22" s="7" t="s">
        <v>398</v>
      </c>
      <c r="P22" s="8" t="s">
        <v>399</v>
      </c>
    </row>
    <row r="23" spans="1:16" x14ac:dyDescent="0.35">
      <c r="A23" t="s">
        <v>307</v>
      </c>
      <c r="B23" t="s">
        <v>221</v>
      </c>
      <c r="C23" t="s">
        <v>197</v>
      </c>
      <c r="D23" t="s">
        <v>221</v>
      </c>
      <c r="E23" t="s">
        <v>231</v>
      </c>
      <c r="F23" t="s">
        <v>233</v>
      </c>
      <c r="G23" t="s">
        <v>171</v>
      </c>
      <c r="H23" t="s">
        <v>221</v>
      </c>
      <c r="J23" s="14" t="s">
        <v>188</v>
      </c>
      <c r="K23" s="15">
        <f>COUNTIF(D:D, J23)</f>
        <v>12</v>
      </c>
      <c r="L23" s="16">
        <f>IFERROR(MATCH(J23,D:D,0),-1)</f>
        <v>2</v>
      </c>
      <c r="N23" s="14" t="s">
        <v>188</v>
      </c>
      <c r="O23" s="15">
        <f>COUNTIF(H:H, N23)</f>
        <v>8</v>
      </c>
      <c r="P23" s="16">
        <f>IFERROR(MATCH(N23,H:H,0),-1)</f>
        <v>2</v>
      </c>
    </row>
    <row r="24" spans="1:16" x14ac:dyDescent="0.35">
      <c r="A24" t="s">
        <v>298</v>
      </c>
      <c r="B24" t="s">
        <v>221</v>
      </c>
      <c r="C24" t="s">
        <v>216</v>
      </c>
      <c r="D24" t="s">
        <v>221</v>
      </c>
      <c r="E24" t="s">
        <v>356</v>
      </c>
      <c r="F24" t="s">
        <v>233</v>
      </c>
      <c r="G24" t="s">
        <v>149</v>
      </c>
      <c r="H24" t="s">
        <v>221</v>
      </c>
      <c r="J24" s="9" t="s">
        <v>221</v>
      </c>
      <c r="K24" s="10">
        <f t="shared" ref="K24:K38" si="4">COUNTIF(D:D, J24)</f>
        <v>21</v>
      </c>
      <c r="L24" s="4">
        <f t="shared" ref="L24:L38" si="5">IFERROR(MATCH(J24,D:D,0),-1)</f>
        <v>14</v>
      </c>
      <c r="N24" s="9" t="s">
        <v>221</v>
      </c>
      <c r="O24" s="10">
        <f t="shared" ref="O24:O38" si="6">COUNTIF(H:H, N24)</f>
        <v>29</v>
      </c>
      <c r="P24" s="4">
        <f t="shared" ref="P24:P38" si="7">IFERROR(MATCH(N24,H:H,0),-1)</f>
        <v>10</v>
      </c>
    </row>
    <row r="25" spans="1:16" x14ac:dyDescent="0.35">
      <c r="A25" t="s">
        <v>308</v>
      </c>
      <c r="B25" t="s">
        <v>221</v>
      </c>
      <c r="C25" t="s">
        <v>226</v>
      </c>
      <c r="D25" t="s">
        <v>221</v>
      </c>
      <c r="E25" t="s">
        <v>200</v>
      </c>
      <c r="F25" t="s">
        <v>233</v>
      </c>
      <c r="G25" t="s">
        <v>152</v>
      </c>
      <c r="H25" t="s">
        <v>221</v>
      </c>
      <c r="J25" s="14" t="s">
        <v>233</v>
      </c>
      <c r="K25" s="15">
        <f t="shared" si="4"/>
        <v>13</v>
      </c>
      <c r="L25" s="16">
        <f t="shared" si="5"/>
        <v>35</v>
      </c>
      <c r="N25" s="14" t="s">
        <v>233</v>
      </c>
      <c r="O25" s="15">
        <f t="shared" si="6"/>
        <v>18</v>
      </c>
      <c r="P25" s="16">
        <f t="shared" si="7"/>
        <v>39</v>
      </c>
    </row>
    <row r="26" spans="1:16" x14ac:dyDescent="0.35">
      <c r="A26" t="s">
        <v>309</v>
      </c>
      <c r="B26" t="s">
        <v>221</v>
      </c>
      <c r="C26" t="s">
        <v>218</v>
      </c>
      <c r="D26" t="s">
        <v>221</v>
      </c>
      <c r="E26" t="s">
        <v>197</v>
      </c>
      <c r="F26" t="s">
        <v>186</v>
      </c>
      <c r="G26" t="s">
        <v>380</v>
      </c>
      <c r="H26" t="s">
        <v>221</v>
      </c>
      <c r="J26" s="9" t="s">
        <v>186</v>
      </c>
      <c r="K26" s="10">
        <f t="shared" si="4"/>
        <v>40</v>
      </c>
      <c r="L26" s="4">
        <f t="shared" si="5"/>
        <v>48</v>
      </c>
      <c r="N26" s="9" t="s">
        <v>186</v>
      </c>
      <c r="O26" s="10">
        <f t="shared" si="6"/>
        <v>29</v>
      </c>
      <c r="P26" s="4">
        <f t="shared" si="7"/>
        <v>61</v>
      </c>
    </row>
    <row r="27" spans="1:16" x14ac:dyDescent="0.35">
      <c r="A27" t="s">
        <v>109</v>
      </c>
      <c r="B27" t="s">
        <v>233</v>
      </c>
      <c r="C27" t="s">
        <v>227</v>
      </c>
      <c r="D27" t="s">
        <v>221</v>
      </c>
      <c r="E27" t="s">
        <v>351</v>
      </c>
      <c r="F27" t="s">
        <v>186</v>
      </c>
      <c r="G27" t="s">
        <v>157</v>
      </c>
      <c r="H27" t="s">
        <v>221</v>
      </c>
      <c r="J27" s="14" t="s">
        <v>187</v>
      </c>
      <c r="K27" s="15">
        <f t="shared" si="4"/>
        <v>21</v>
      </c>
      <c r="L27" s="16">
        <f t="shared" si="5"/>
        <v>88</v>
      </c>
      <c r="N27" s="14" t="s">
        <v>187</v>
      </c>
      <c r="O27" s="15">
        <f t="shared" si="6"/>
        <v>16</v>
      </c>
      <c r="P27" s="16">
        <f t="shared" si="7"/>
        <v>90</v>
      </c>
    </row>
    <row r="28" spans="1:16" x14ac:dyDescent="0.35">
      <c r="A28" t="s">
        <v>299</v>
      </c>
      <c r="B28" t="s">
        <v>233</v>
      </c>
      <c r="C28" t="s">
        <v>228</v>
      </c>
      <c r="D28" t="s">
        <v>221</v>
      </c>
      <c r="E28" t="s">
        <v>202</v>
      </c>
      <c r="F28" t="s">
        <v>186</v>
      </c>
      <c r="G28" t="s">
        <v>381</v>
      </c>
      <c r="H28" t="s">
        <v>221</v>
      </c>
      <c r="J28" s="9" t="s">
        <v>257</v>
      </c>
      <c r="K28" s="10">
        <f t="shared" si="4"/>
        <v>20</v>
      </c>
      <c r="L28" s="4">
        <f t="shared" si="5"/>
        <v>109</v>
      </c>
      <c r="N28" s="9" t="s">
        <v>257</v>
      </c>
      <c r="O28" s="10">
        <f t="shared" si="6"/>
        <v>24</v>
      </c>
      <c r="P28" s="4">
        <f t="shared" si="7"/>
        <v>106</v>
      </c>
    </row>
    <row r="29" spans="1:16" x14ac:dyDescent="0.35">
      <c r="A29" t="s">
        <v>294</v>
      </c>
      <c r="B29" t="s">
        <v>233</v>
      </c>
      <c r="C29" t="s">
        <v>229</v>
      </c>
      <c r="D29" t="s">
        <v>221</v>
      </c>
      <c r="E29" t="s">
        <v>352</v>
      </c>
      <c r="F29" t="s">
        <v>186</v>
      </c>
      <c r="G29" t="s">
        <v>162</v>
      </c>
      <c r="H29" t="s">
        <v>221</v>
      </c>
      <c r="J29" s="14" t="s">
        <v>60</v>
      </c>
      <c r="K29" s="15">
        <f t="shared" si="4"/>
        <v>17</v>
      </c>
      <c r="L29" s="16">
        <f t="shared" si="5"/>
        <v>129</v>
      </c>
      <c r="N29" s="14" t="s">
        <v>60</v>
      </c>
      <c r="O29" s="15">
        <f t="shared" si="6"/>
        <v>22</v>
      </c>
      <c r="P29" s="16">
        <f t="shared" si="7"/>
        <v>130</v>
      </c>
    </row>
    <row r="30" spans="1:16" x14ac:dyDescent="0.35">
      <c r="A30" t="s">
        <v>297</v>
      </c>
      <c r="B30" t="s">
        <v>233</v>
      </c>
      <c r="C30" t="s">
        <v>230</v>
      </c>
      <c r="D30" t="s">
        <v>221</v>
      </c>
      <c r="E30" t="s">
        <v>204</v>
      </c>
      <c r="F30" t="s">
        <v>186</v>
      </c>
      <c r="G30" t="s">
        <v>156</v>
      </c>
      <c r="H30" t="s">
        <v>221</v>
      </c>
      <c r="J30" s="9" t="s">
        <v>333</v>
      </c>
      <c r="K30" s="10">
        <f t="shared" si="4"/>
        <v>0</v>
      </c>
      <c r="L30" s="4">
        <f t="shared" si="5"/>
        <v>-1</v>
      </c>
      <c r="N30" s="9" t="s">
        <v>333</v>
      </c>
      <c r="O30" s="10">
        <f t="shared" si="6"/>
        <v>3</v>
      </c>
      <c r="P30" s="4">
        <f t="shared" si="7"/>
        <v>152</v>
      </c>
    </row>
    <row r="31" spans="1:16" x14ac:dyDescent="0.35">
      <c r="A31" t="s">
        <v>310</v>
      </c>
      <c r="B31" t="s">
        <v>233</v>
      </c>
      <c r="C31" t="s">
        <v>231</v>
      </c>
      <c r="D31" t="s">
        <v>221</v>
      </c>
      <c r="E31" t="s">
        <v>291</v>
      </c>
      <c r="F31" t="s">
        <v>186</v>
      </c>
      <c r="G31" t="s">
        <v>159</v>
      </c>
      <c r="H31" t="s">
        <v>221</v>
      </c>
      <c r="J31" s="14" t="s">
        <v>71</v>
      </c>
      <c r="K31" s="15">
        <f t="shared" si="4"/>
        <v>27</v>
      </c>
      <c r="L31" s="16">
        <f t="shared" si="5"/>
        <v>146</v>
      </c>
      <c r="N31" s="14" t="s">
        <v>71</v>
      </c>
      <c r="O31" s="15">
        <f t="shared" si="6"/>
        <v>31</v>
      </c>
      <c r="P31" s="16">
        <f t="shared" si="7"/>
        <v>155</v>
      </c>
    </row>
    <row r="32" spans="1:16" x14ac:dyDescent="0.35">
      <c r="A32" t="s">
        <v>295</v>
      </c>
      <c r="B32" t="s">
        <v>233</v>
      </c>
      <c r="C32" t="s">
        <v>215</v>
      </c>
      <c r="D32" t="s">
        <v>221</v>
      </c>
      <c r="E32" t="s">
        <v>231</v>
      </c>
      <c r="F32" t="s">
        <v>186</v>
      </c>
      <c r="G32" t="s">
        <v>163</v>
      </c>
      <c r="H32" t="s">
        <v>221</v>
      </c>
      <c r="J32" s="9" t="s">
        <v>73</v>
      </c>
      <c r="K32" s="10">
        <f t="shared" si="4"/>
        <v>23</v>
      </c>
      <c r="L32" s="4">
        <f t="shared" si="5"/>
        <v>173</v>
      </c>
      <c r="N32" s="9" t="s">
        <v>73</v>
      </c>
      <c r="O32" s="10">
        <f t="shared" si="6"/>
        <v>25</v>
      </c>
      <c r="P32" s="4">
        <f t="shared" si="7"/>
        <v>186</v>
      </c>
    </row>
    <row r="33" spans="1:16" x14ac:dyDescent="0.35">
      <c r="A33" t="s">
        <v>311</v>
      </c>
      <c r="B33" t="s">
        <v>233</v>
      </c>
      <c r="C33" t="s">
        <v>217</v>
      </c>
      <c r="D33" t="s">
        <v>221</v>
      </c>
      <c r="E33" t="s">
        <v>259</v>
      </c>
      <c r="F33" t="s">
        <v>186</v>
      </c>
      <c r="G33" t="s">
        <v>382</v>
      </c>
      <c r="H33" t="s">
        <v>221</v>
      </c>
      <c r="J33" s="14" t="s">
        <v>267</v>
      </c>
      <c r="K33" s="15">
        <f t="shared" si="4"/>
        <v>4</v>
      </c>
      <c r="L33" s="16">
        <f t="shared" si="5"/>
        <v>196</v>
      </c>
      <c r="N33" s="14" t="s">
        <v>267</v>
      </c>
      <c r="O33" s="15">
        <f t="shared" si="6"/>
        <v>19</v>
      </c>
      <c r="P33" s="16">
        <f t="shared" si="7"/>
        <v>211</v>
      </c>
    </row>
    <row r="34" spans="1:16" x14ac:dyDescent="0.35">
      <c r="A34" t="s">
        <v>312</v>
      </c>
      <c r="B34" t="s">
        <v>233</v>
      </c>
      <c r="C34" t="s">
        <v>202</v>
      </c>
      <c r="D34" t="s">
        <v>221</v>
      </c>
      <c r="E34" t="s">
        <v>357</v>
      </c>
      <c r="F34" t="s">
        <v>186</v>
      </c>
      <c r="G34" t="s">
        <v>153</v>
      </c>
      <c r="H34" t="s">
        <v>221</v>
      </c>
      <c r="J34" s="9" t="s">
        <v>272</v>
      </c>
      <c r="K34" s="10">
        <f t="shared" si="4"/>
        <v>47</v>
      </c>
      <c r="L34" s="4">
        <f t="shared" si="5"/>
        <v>218</v>
      </c>
      <c r="N34" s="9" t="s">
        <v>272</v>
      </c>
      <c r="O34" s="10">
        <f t="shared" si="6"/>
        <v>43</v>
      </c>
      <c r="P34" s="4">
        <f t="shared" si="7"/>
        <v>230</v>
      </c>
    </row>
    <row r="35" spans="1:16" x14ac:dyDescent="0.35">
      <c r="A35" t="s">
        <v>302</v>
      </c>
      <c r="B35" t="s">
        <v>233</v>
      </c>
      <c r="C35" t="s">
        <v>232</v>
      </c>
      <c r="D35" t="s">
        <v>233</v>
      </c>
      <c r="E35" t="s">
        <v>356</v>
      </c>
      <c r="F35" t="s">
        <v>186</v>
      </c>
      <c r="G35" t="s">
        <v>169</v>
      </c>
      <c r="H35" t="s">
        <v>221</v>
      </c>
      <c r="J35" s="14" t="s">
        <v>288</v>
      </c>
      <c r="K35" s="15">
        <f t="shared" si="4"/>
        <v>18</v>
      </c>
      <c r="L35" s="16">
        <f t="shared" si="5"/>
        <v>265</v>
      </c>
      <c r="N35" s="14" t="s">
        <v>288</v>
      </c>
      <c r="O35" s="15">
        <f t="shared" si="6"/>
        <v>14</v>
      </c>
      <c r="P35" s="16">
        <f t="shared" si="7"/>
        <v>273</v>
      </c>
    </row>
    <row r="36" spans="1:16" x14ac:dyDescent="0.35">
      <c r="A36" t="s">
        <v>105</v>
      </c>
      <c r="B36" t="s">
        <v>313</v>
      </c>
      <c r="C36" t="s">
        <v>231</v>
      </c>
      <c r="D36" t="s">
        <v>233</v>
      </c>
      <c r="E36" t="s">
        <v>358</v>
      </c>
      <c r="F36" t="s">
        <v>186</v>
      </c>
      <c r="G36" t="s">
        <v>134</v>
      </c>
      <c r="H36" t="s">
        <v>221</v>
      </c>
      <c r="J36" s="9" t="s">
        <v>290</v>
      </c>
      <c r="K36" s="10">
        <f t="shared" si="4"/>
        <v>5</v>
      </c>
      <c r="L36" s="4">
        <f t="shared" si="5"/>
        <v>283</v>
      </c>
      <c r="N36" s="9" t="s">
        <v>290</v>
      </c>
      <c r="O36" s="10">
        <f t="shared" si="6"/>
        <v>8</v>
      </c>
      <c r="P36" s="4">
        <f t="shared" si="7"/>
        <v>287</v>
      </c>
    </row>
    <row r="37" spans="1:16" x14ac:dyDescent="0.35">
      <c r="A37" t="s">
        <v>297</v>
      </c>
      <c r="B37" t="s">
        <v>186</v>
      </c>
      <c r="C37" t="s">
        <v>219</v>
      </c>
      <c r="D37" t="s">
        <v>233</v>
      </c>
      <c r="E37" t="s">
        <v>208</v>
      </c>
      <c r="F37" t="s">
        <v>186</v>
      </c>
      <c r="G37" t="s">
        <v>172</v>
      </c>
      <c r="H37" t="s">
        <v>221</v>
      </c>
      <c r="J37" s="14" t="s">
        <v>72</v>
      </c>
      <c r="K37" s="15">
        <f t="shared" si="4"/>
        <v>35</v>
      </c>
      <c r="L37" s="16">
        <f t="shared" si="5"/>
        <v>288</v>
      </c>
      <c r="N37" s="14" t="s">
        <v>72</v>
      </c>
      <c r="O37" s="15">
        <f t="shared" si="6"/>
        <v>33</v>
      </c>
      <c r="P37" s="16">
        <f t="shared" si="7"/>
        <v>295</v>
      </c>
    </row>
    <row r="38" spans="1:16" ht="15" thickBot="1" x14ac:dyDescent="0.4">
      <c r="A38" t="s">
        <v>298</v>
      </c>
      <c r="B38" t="s">
        <v>186</v>
      </c>
      <c r="C38" t="s">
        <v>234</v>
      </c>
      <c r="D38" t="s">
        <v>233</v>
      </c>
      <c r="E38" t="s">
        <v>201</v>
      </c>
      <c r="F38" t="s">
        <v>186</v>
      </c>
      <c r="G38" t="s">
        <v>370</v>
      </c>
      <c r="H38" t="s">
        <v>221</v>
      </c>
      <c r="J38" s="11" t="s">
        <v>66</v>
      </c>
      <c r="K38" s="12">
        <f t="shared" si="4"/>
        <v>25</v>
      </c>
      <c r="L38" s="13">
        <f t="shared" si="5"/>
        <v>323</v>
      </c>
      <c r="N38" s="11" t="s">
        <v>66</v>
      </c>
      <c r="O38" s="12">
        <f t="shared" si="6"/>
        <v>21</v>
      </c>
      <c r="P38" s="13">
        <f t="shared" si="7"/>
        <v>328</v>
      </c>
    </row>
    <row r="39" spans="1:16" x14ac:dyDescent="0.35">
      <c r="A39" t="s">
        <v>109</v>
      </c>
      <c r="B39" t="s">
        <v>186</v>
      </c>
      <c r="C39" t="s">
        <v>212</v>
      </c>
      <c r="D39" t="s">
        <v>233</v>
      </c>
      <c r="E39" t="s">
        <v>200</v>
      </c>
      <c r="F39" t="s">
        <v>186</v>
      </c>
      <c r="G39" t="s">
        <v>132</v>
      </c>
      <c r="H39" t="s">
        <v>233</v>
      </c>
    </row>
    <row r="40" spans="1:16" x14ac:dyDescent="0.35">
      <c r="A40" t="s">
        <v>314</v>
      </c>
      <c r="B40" t="s">
        <v>186</v>
      </c>
      <c r="C40" t="s">
        <v>235</v>
      </c>
      <c r="D40" t="s">
        <v>233</v>
      </c>
      <c r="E40" t="s">
        <v>98</v>
      </c>
      <c r="F40" t="s">
        <v>186</v>
      </c>
      <c r="G40" t="s">
        <v>131</v>
      </c>
      <c r="H40" t="s">
        <v>233</v>
      </c>
    </row>
    <row r="41" spans="1:16" x14ac:dyDescent="0.35">
      <c r="A41" t="s">
        <v>310</v>
      </c>
      <c r="B41" t="s">
        <v>186</v>
      </c>
      <c r="C41" t="s">
        <v>236</v>
      </c>
      <c r="D41" t="s">
        <v>233</v>
      </c>
      <c r="E41" t="s">
        <v>202</v>
      </c>
      <c r="F41" t="s">
        <v>187</v>
      </c>
      <c r="G41" t="s">
        <v>156</v>
      </c>
      <c r="H41" t="s">
        <v>233</v>
      </c>
    </row>
    <row r="42" spans="1:16" x14ac:dyDescent="0.35">
      <c r="A42" t="s">
        <v>295</v>
      </c>
      <c r="B42" t="s">
        <v>186</v>
      </c>
      <c r="C42" t="s">
        <v>237</v>
      </c>
      <c r="D42" t="s">
        <v>233</v>
      </c>
      <c r="E42" t="s">
        <v>352</v>
      </c>
      <c r="F42" t="s">
        <v>187</v>
      </c>
      <c r="G42" t="s">
        <v>155</v>
      </c>
      <c r="H42" t="s">
        <v>233</v>
      </c>
    </row>
    <row r="43" spans="1:16" x14ac:dyDescent="0.35">
      <c r="A43" t="s">
        <v>300</v>
      </c>
      <c r="B43" t="s">
        <v>186</v>
      </c>
      <c r="C43" t="s">
        <v>214</v>
      </c>
      <c r="D43" t="s">
        <v>233</v>
      </c>
      <c r="E43" t="s">
        <v>204</v>
      </c>
      <c r="F43" t="s">
        <v>187</v>
      </c>
      <c r="G43" t="s">
        <v>126</v>
      </c>
      <c r="H43" t="s">
        <v>233</v>
      </c>
    </row>
    <row r="44" spans="1:16" x14ac:dyDescent="0.35">
      <c r="A44" t="s">
        <v>315</v>
      </c>
      <c r="B44" t="s">
        <v>186</v>
      </c>
      <c r="C44" t="s">
        <v>216</v>
      </c>
      <c r="D44" t="s">
        <v>233</v>
      </c>
      <c r="E44" t="s">
        <v>291</v>
      </c>
      <c r="F44" t="s">
        <v>187</v>
      </c>
      <c r="G44" t="s">
        <v>161</v>
      </c>
      <c r="H44" t="s">
        <v>233</v>
      </c>
    </row>
    <row r="45" spans="1:16" x14ac:dyDescent="0.35">
      <c r="A45" t="s">
        <v>311</v>
      </c>
      <c r="B45" t="s">
        <v>186</v>
      </c>
      <c r="C45" t="s">
        <v>217</v>
      </c>
      <c r="D45" t="s">
        <v>233</v>
      </c>
      <c r="E45" t="s">
        <v>259</v>
      </c>
      <c r="F45" t="s">
        <v>187</v>
      </c>
      <c r="G45" t="s">
        <v>173</v>
      </c>
      <c r="H45" t="s">
        <v>233</v>
      </c>
    </row>
    <row r="46" spans="1:16" x14ac:dyDescent="0.35">
      <c r="A46" t="s">
        <v>316</v>
      </c>
      <c r="B46" t="s">
        <v>186</v>
      </c>
      <c r="C46" t="s">
        <v>213</v>
      </c>
      <c r="D46" t="s">
        <v>233</v>
      </c>
      <c r="E46" t="s">
        <v>208</v>
      </c>
      <c r="F46" t="s">
        <v>187</v>
      </c>
      <c r="G46" t="s">
        <v>157</v>
      </c>
      <c r="H46" t="s">
        <v>233</v>
      </c>
    </row>
    <row r="47" spans="1:16" x14ac:dyDescent="0.35">
      <c r="A47" t="s">
        <v>296</v>
      </c>
      <c r="B47" t="s">
        <v>186</v>
      </c>
      <c r="C47" t="s">
        <v>202</v>
      </c>
      <c r="D47" t="s">
        <v>233</v>
      </c>
      <c r="E47" t="s">
        <v>201</v>
      </c>
      <c r="F47" t="s">
        <v>187</v>
      </c>
      <c r="G47" t="s">
        <v>379</v>
      </c>
      <c r="H47" t="s">
        <v>233</v>
      </c>
    </row>
    <row r="48" spans="1:16" x14ac:dyDescent="0.35">
      <c r="A48" t="s">
        <v>293</v>
      </c>
      <c r="B48" t="s">
        <v>317</v>
      </c>
      <c r="C48" t="s">
        <v>238</v>
      </c>
      <c r="D48" t="s">
        <v>186</v>
      </c>
      <c r="E48" t="s">
        <v>200</v>
      </c>
      <c r="F48" t="s">
        <v>187</v>
      </c>
      <c r="G48" t="s">
        <v>159</v>
      </c>
      <c r="H48" t="s">
        <v>233</v>
      </c>
    </row>
    <row r="49" spans="1:8" x14ac:dyDescent="0.35">
      <c r="A49" t="s">
        <v>318</v>
      </c>
      <c r="B49" t="s">
        <v>186</v>
      </c>
      <c r="C49" t="s">
        <v>239</v>
      </c>
      <c r="D49" t="s">
        <v>186</v>
      </c>
      <c r="E49" t="s">
        <v>197</v>
      </c>
      <c r="F49" t="s">
        <v>257</v>
      </c>
      <c r="G49" t="s">
        <v>158</v>
      </c>
      <c r="H49" t="s">
        <v>233</v>
      </c>
    </row>
    <row r="50" spans="1:8" x14ac:dyDescent="0.35">
      <c r="A50" t="s">
        <v>319</v>
      </c>
      <c r="B50" t="s">
        <v>186</v>
      </c>
      <c r="C50" t="s">
        <v>219</v>
      </c>
      <c r="D50" t="s">
        <v>186</v>
      </c>
      <c r="E50" t="s">
        <v>354</v>
      </c>
      <c r="F50" t="s">
        <v>257</v>
      </c>
      <c r="G50" t="s">
        <v>381</v>
      </c>
      <c r="H50" t="s">
        <v>233</v>
      </c>
    </row>
    <row r="51" spans="1:8" x14ac:dyDescent="0.35">
      <c r="A51" t="s">
        <v>320</v>
      </c>
      <c r="B51" t="s">
        <v>186</v>
      </c>
      <c r="C51" t="s">
        <v>240</v>
      </c>
      <c r="D51" t="s">
        <v>186</v>
      </c>
      <c r="E51" t="s">
        <v>351</v>
      </c>
      <c r="F51" t="s">
        <v>257</v>
      </c>
      <c r="G51" t="s">
        <v>135</v>
      </c>
      <c r="H51" t="s">
        <v>233</v>
      </c>
    </row>
    <row r="52" spans="1:8" x14ac:dyDescent="0.35">
      <c r="A52" t="s">
        <v>321</v>
      </c>
      <c r="B52" t="s">
        <v>186</v>
      </c>
      <c r="C52" t="s">
        <v>223</v>
      </c>
      <c r="D52" t="s">
        <v>186</v>
      </c>
      <c r="E52" t="s">
        <v>202</v>
      </c>
      <c r="F52" t="s">
        <v>257</v>
      </c>
      <c r="G52" t="s">
        <v>151</v>
      </c>
      <c r="H52" t="s">
        <v>233</v>
      </c>
    </row>
    <row r="53" spans="1:8" x14ac:dyDescent="0.35">
      <c r="A53" t="s">
        <v>307</v>
      </c>
      <c r="B53" t="s">
        <v>186</v>
      </c>
      <c r="C53" t="s">
        <v>212</v>
      </c>
      <c r="D53" t="s">
        <v>186</v>
      </c>
      <c r="E53" t="s">
        <v>291</v>
      </c>
      <c r="F53" t="s">
        <v>257</v>
      </c>
      <c r="G53" t="s">
        <v>383</v>
      </c>
      <c r="H53" t="s">
        <v>233</v>
      </c>
    </row>
    <row r="54" spans="1:8" x14ac:dyDescent="0.35">
      <c r="A54" t="s">
        <v>303</v>
      </c>
      <c r="B54" t="s">
        <v>186</v>
      </c>
      <c r="C54" t="s">
        <v>225</v>
      </c>
      <c r="D54" t="s">
        <v>186</v>
      </c>
      <c r="E54" t="s">
        <v>359</v>
      </c>
      <c r="F54" t="s">
        <v>257</v>
      </c>
      <c r="G54" t="s">
        <v>143</v>
      </c>
      <c r="H54" t="s">
        <v>233</v>
      </c>
    </row>
    <row r="55" spans="1:8" x14ac:dyDescent="0.35">
      <c r="A55" t="s">
        <v>322</v>
      </c>
      <c r="B55" t="s">
        <v>186</v>
      </c>
      <c r="C55" t="s">
        <v>241</v>
      </c>
      <c r="D55" t="s">
        <v>186</v>
      </c>
      <c r="E55" t="s">
        <v>360</v>
      </c>
      <c r="F55" t="s">
        <v>257</v>
      </c>
      <c r="G55" t="s">
        <v>175</v>
      </c>
      <c r="H55" t="s">
        <v>233</v>
      </c>
    </row>
    <row r="56" spans="1:8" x14ac:dyDescent="0.35">
      <c r="A56" t="s">
        <v>323</v>
      </c>
      <c r="B56" t="s">
        <v>186</v>
      </c>
      <c r="C56" t="s">
        <v>242</v>
      </c>
      <c r="D56" t="s">
        <v>186</v>
      </c>
      <c r="E56" t="s">
        <v>358</v>
      </c>
      <c r="F56" t="s">
        <v>257</v>
      </c>
      <c r="G56" t="s">
        <v>152</v>
      </c>
      <c r="H56" t="s">
        <v>233</v>
      </c>
    </row>
    <row r="57" spans="1:8" x14ac:dyDescent="0.35">
      <c r="A57" t="s">
        <v>324</v>
      </c>
      <c r="B57" t="s">
        <v>186</v>
      </c>
      <c r="C57" t="s">
        <v>243</v>
      </c>
      <c r="D57" t="s">
        <v>186</v>
      </c>
      <c r="E57" t="s">
        <v>204</v>
      </c>
      <c r="F57" t="s">
        <v>257</v>
      </c>
      <c r="G57" t="s">
        <v>171</v>
      </c>
      <c r="H57" t="s">
        <v>313</v>
      </c>
    </row>
    <row r="58" spans="1:8" x14ac:dyDescent="0.35">
      <c r="A58" t="s">
        <v>325</v>
      </c>
      <c r="B58" t="s">
        <v>186</v>
      </c>
      <c r="C58" t="s">
        <v>237</v>
      </c>
      <c r="D58" t="s">
        <v>186</v>
      </c>
      <c r="E58" t="s">
        <v>361</v>
      </c>
      <c r="F58" t="s">
        <v>257</v>
      </c>
      <c r="G58" t="s">
        <v>133</v>
      </c>
      <c r="H58" t="s">
        <v>313</v>
      </c>
    </row>
    <row r="59" spans="1:8" x14ac:dyDescent="0.35">
      <c r="A59" t="s">
        <v>326</v>
      </c>
      <c r="B59" t="s">
        <v>186</v>
      </c>
      <c r="C59" t="s">
        <v>213</v>
      </c>
      <c r="D59" t="s">
        <v>186</v>
      </c>
      <c r="E59" t="s">
        <v>200</v>
      </c>
      <c r="F59" t="s">
        <v>60</v>
      </c>
      <c r="G59" t="s">
        <v>382</v>
      </c>
      <c r="H59" t="s">
        <v>313</v>
      </c>
    </row>
    <row r="60" spans="1:8" x14ac:dyDescent="0.35">
      <c r="A60" t="s">
        <v>301</v>
      </c>
      <c r="B60" t="s">
        <v>186</v>
      </c>
      <c r="C60" t="s">
        <v>214</v>
      </c>
      <c r="D60" t="s">
        <v>186</v>
      </c>
      <c r="E60" t="s">
        <v>197</v>
      </c>
      <c r="F60" t="s">
        <v>60</v>
      </c>
      <c r="G60" t="s">
        <v>150</v>
      </c>
      <c r="H60" t="s">
        <v>313</v>
      </c>
    </row>
    <row r="61" spans="1:8" x14ac:dyDescent="0.35">
      <c r="A61" t="s">
        <v>327</v>
      </c>
      <c r="B61" t="s">
        <v>186</v>
      </c>
      <c r="C61" t="s">
        <v>244</v>
      </c>
      <c r="D61" t="s">
        <v>186</v>
      </c>
      <c r="E61" t="s">
        <v>202</v>
      </c>
      <c r="F61" t="s">
        <v>60</v>
      </c>
      <c r="G61" t="s">
        <v>132</v>
      </c>
      <c r="H61" t="s">
        <v>186</v>
      </c>
    </row>
    <row r="62" spans="1:8" x14ac:dyDescent="0.35">
      <c r="A62" t="s">
        <v>328</v>
      </c>
      <c r="B62" t="s">
        <v>186</v>
      </c>
      <c r="C62" t="s">
        <v>197</v>
      </c>
      <c r="D62" t="s">
        <v>186</v>
      </c>
      <c r="E62" t="s">
        <v>291</v>
      </c>
      <c r="F62" t="s">
        <v>60</v>
      </c>
      <c r="G62" t="s">
        <v>131</v>
      </c>
      <c r="H62" t="s">
        <v>186</v>
      </c>
    </row>
    <row r="63" spans="1:8" x14ac:dyDescent="0.35">
      <c r="A63" t="s">
        <v>329</v>
      </c>
      <c r="B63" t="s">
        <v>186</v>
      </c>
      <c r="C63" t="s">
        <v>202</v>
      </c>
      <c r="D63" t="s">
        <v>186</v>
      </c>
      <c r="E63" t="s">
        <v>351</v>
      </c>
      <c r="F63" t="s">
        <v>60</v>
      </c>
      <c r="G63" t="s">
        <v>135</v>
      </c>
      <c r="H63" t="s">
        <v>186</v>
      </c>
    </row>
    <row r="64" spans="1:8" x14ac:dyDescent="0.35">
      <c r="A64" t="s">
        <v>330</v>
      </c>
      <c r="B64" t="s">
        <v>186</v>
      </c>
      <c r="C64" t="s">
        <v>234</v>
      </c>
      <c r="D64" t="s">
        <v>186</v>
      </c>
      <c r="E64" t="s">
        <v>208</v>
      </c>
      <c r="F64" t="s">
        <v>60</v>
      </c>
      <c r="G64" t="s">
        <v>169</v>
      </c>
      <c r="H64" t="s">
        <v>186</v>
      </c>
    </row>
    <row r="65" spans="1:8" x14ac:dyDescent="0.35">
      <c r="A65" t="s">
        <v>299</v>
      </c>
      <c r="B65" t="s">
        <v>187</v>
      </c>
      <c r="C65" t="s">
        <v>232</v>
      </c>
      <c r="D65" t="s">
        <v>186</v>
      </c>
      <c r="E65" t="s">
        <v>204</v>
      </c>
      <c r="F65" t="s">
        <v>60</v>
      </c>
      <c r="G65" t="s">
        <v>155</v>
      </c>
      <c r="H65" t="s">
        <v>186</v>
      </c>
    </row>
    <row r="66" spans="1:8" x14ac:dyDescent="0.35">
      <c r="A66" t="s">
        <v>294</v>
      </c>
      <c r="B66" t="s">
        <v>187</v>
      </c>
      <c r="C66" t="s">
        <v>231</v>
      </c>
      <c r="D66" t="s">
        <v>186</v>
      </c>
      <c r="E66" t="s">
        <v>200</v>
      </c>
      <c r="F66" t="s">
        <v>60</v>
      </c>
      <c r="G66" t="s">
        <v>384</v>
      </c>
      <c r="H66" t="s">
        <v>186</v>
      </c>
    </row>
    <row r="67" spans="1:8" x14ac:dyDescent="0.35">
      <c r="A67" t="s">
        <v>300</v>
      </c>
      <c r="B67" t="s">
        <v>187</v>
      </c>
      <c r="C67" t="s">
        <v>228</v>
      </c>
      <c r="D67" t="s">
        <v>186</v>
      </c>
      <c r="E67" t="s">
        <v>360</v>
      </c>
      <c r="F67" t="s">
        <v>60</v>
      </c>
      <c r="G67" t="s">
        <v>161</v>
      </c>
      <c r="H67" t="s">
        <v>186</v>
      </c>
    </row>
    <row r="68" spans="1:8" x14ac:dyDescent="0.35">
      <c r="A68" t="s">
        <v>302</v>
      </c>
      <c r="B68" t="s">
        <v>187</v>
      </c>
      <c r="C68" t="s">
        <v>235</v>
      </c>
      <c r="D68" t="s">
        <v>186</v>
      </c>
      <c r="E68" t="s">
        <v>352</v>
      </c>
      <c r="F68" t="s">
        <v>333</v>
      </c>
      <c r="G68" t="s">
        <v>178</v>
      </c>
      <c r="H68" t="s">
        <v>186</v>
      </c>
    </row>
    <row r="69" spans="1:8" x14ac:dyDescent="0.35">
      <c r="A69" t="s">
        <v>105</v>
      </c>
      <c r="B69" t="s">
        <v>187</v>
      </c>
      <c r="C69" t="s">
        <v>218</v>
      </c>
      <c r="D69" t="s">
        <v>186</v>
      </c>
      <c r="E69" t="s">
        <v>197</v>
      </c>
      <c r="F69" t="s">
        <v>71</v>
      </c>
      <c r="G69" t="s">
        <v>170</v>
      </c>
      <c r="H69" t="s">
        <v>186</v>
      </c>
    </row>
    <row r="70" spans="1:8" x14ac:dyDescent="0.35">
      <c r="A70" t="s">
        <v>296</v>
      </c>
      <c r="B70" t="s">
        <v>187</v>
      </c>
      <c r="C70" t="s">
        <v>245</v>
      </c>
      <c r="D70" t="s">
        <v>186</v>
      </c>
      <c r="E70" t="s">
        <v>198</v>
      </c>
      <c r="F70" t="s">
        <v>71</v>
      </c>
      <c r="G70" t="s">
        <v>380</v>
      </c>
      <c r="H70" t="s">
        <v>186</v>
      </c>
    </row>
    <row r="71" spans="1:8" x14ac:dyDescent="0.35">
      <c r="A71" t="s">
        <v>301</v>
      </c>
      <c r="B71" t="s">
        <v>187</v>
      </c>
      <c r="C71" t="s">
        <v>246</v>
      </c>
      <c r="D71" t="s">
        <v>186</v>
      </c>
      <c r="E71" t="s">
        <v>199</v>
      </c>
      <c r="F71" t="s">
        <v>71</v>
      </c>
      <c r="G71" t="s">
        <v>159</v>
      </c>
      <c r="H71" t="s">
        <v>186</v>
      </c>
    </row>
    <row r="72" spans="1:8" x14ac:dyDescent="0.35">
      <c r="A72" t="s">
        <v>299</v>
      </c>
      <c r="B72" t="s">
        <v>257</v>
      </c>
      <c r="C72" t="s">
        <v>247</v>
      </c>
      <c r="D72" t="s">
        <v>186</v>
      </c>
      <c r="E72" t="s">
        <v>231</v>
      </c>
      <c r="F72" t="s">
        <v>71</v>
      </c>
      <c r="G72" t="s">
        <v>151</v>
      </c>
      <c r="H72" t="s">
        <v>186</v>
      </c>
    </row>
    <row r="73" spans="1:8" x14ac:dyDescent="0.35">
      <c r="A73" t="s">
        <v>294</v>
      </c>
      <c r="B73" t="s">
        <v>257</v>
      </c>
      <c r="C73" t="s">
        <v>229</v>
      </c>
      <c r="D73" t="s">
        <v>186</v>
      </c>
      <c r="E73" t="s">
        <v>362</v>
      </c>
      <c r="F73" t="s">
        <v>71</v>
      </c>
      <c r="G73" t="s">
        <v>378</v>
      </c>
      <c r="H73" t="s">
        <v>186</v>
      </c>
    </row>
    <row r="74" spans="1:8" x14ac:dyDescent="0.35">
      <c r="A74" t="s">
        <v>293</v>
      </c>
      <c r="B74" t="s">
        <v>257</v>
      </c>
      <c r="C74" t="s">
        <v>220</v>
      </c>
      <c r="D74" t="s">
        <v>186</v>
      </c>
      <c r="E74" t="s">
        <v>200</v>
      </c>
      <c r="F74" t="s">
        <v>71</v>
      </c>
      <c r="G74" t="s">
        <v>143</v>
      </c>
      <c r="H74" t="s">
        <v>186</v>
      </c>
    </row>
    <row r="75" spans="1:8" x14ac:dyDescent="0.35">
      <c r="A75" t="s">
        <v>297</v>
      </c>
      <c r="B75" t="s">
        <v>257</v>
      </c>
      <c r="C75" t="s">
        <v>208</v>
      </c>
      <c r="D75" t="s">
        <v>186</v>
      </c>
      <c r="E75" t="s">
        <v>201</v>
      </c>
      <c r="F75" t="s">
        <v>71</v>
      </c>
      <c r="G75" t="s">
        <v>175</v>
      </c>
      <c r="H75" t="s">
        <v>186</v>
      </c>
    </row>
    <row r="76" spans="1:8" x14ac:dyDescent="0.35">
      <c r="A76" t="s">
        <v>310</v>
      </c>
      <c r="B76" t="s">
        <v>257</v>
      </c>
      <c r="C76" t="s">
        <v>236</v>
      </c>
      <c r="D76" t="s">
        <v>186</v>
      </c>
      <c r="E76" t="s">
        <v>202</v>
      </c>
      <c r="F76" t="s">
        <v>71</v>
      </c>
      <c r="G76" t="s">
        <v>149</v>
      </c>
      <c r="H76" t="s">
        <v>186</v>
      </c>
    </row>
    <row r="77" spans="1:8" x14ac:dyDescent="0.35">
      <c r="A77" t="s">
        <v>302</v>
      </c>
      <c r="B77" t="s">
        <v>257</v>
      </c>
      <c r="C77" t="s">
        <v>248</v>
      </c>
      <c r="D77" t="s">
        <v>186</v>
      </c>
      <c r="E77" t="s">
        <v>203</v>
      </c>
      <c r="F77" t="s">
        <v>71</v>
      </c>
      <c r="G77" t="s">
        <v>152</v>
      </c>
      <c r="H77" t="s">
        <v>186</v>
      </c>
    </row>
    <row r="78" spans="1:8" x14ac:dyDescent="0.35">
      <c r="A78" t="s">
        <v>105</v>
      </c>
      <c r="B78" t="s">
        <v>257</v>
      </c>
      <c r="C78" t="s">
        <v>249</v>
      </c>
      <c r="D78" t="s">
        <v>186</v>
      </c>
      <c r="E78" t="s">
        <v>204</v>
      </c>
      <c r="F78" t="s">
        <v>71</v>
      </c>
      <c r="G78" t="s">
        <v>134</v>
      </c>
      <c r="H78" t="s">
        <v>186</v>
      </c>
    </row>
    <row r="79" spans="1:8" x14ac:dyDescent="0.35">
      <c r="A79" t="s">
        <v>298</v>
      </c>
      <c r="B79" t="s">
        <v>257</v>
      </c>
      <c r="C79" t="s">
        <v>250</v>
      </c>
      <c r="D79" t="s">
        <v>186</v>
      </c>
      <c r="E79" t="s">
        <v>205</v>
      </c>
      <c r="F79" t="s">
        <v>71</v>
      </c>
      <c r="G79" t="s">
        <v>162</v>
      </c>
      <c r="H79" t="s">
        <v>186</v>
      </c>
    </row>
    <row r="80" spans="1:8" x14ac:dyDescent="0.35">
      <c r="A80" t="s">
        <v>109</v>
      </c>
      <c r="B80" t="s">
        <v>257</v>
      </c>
      <c r="C80" t="s">
        <v>251</v>
      </c>
      <c r="D80" t="s">
        <v>186</v>
      </c>
      <c r="E80" t="s">
        <v>206</v>
      </c>
      <c r="F80" t="s">
        <v>71</v>
      </c>
      <c r="G80" t="s">
        <v>133</v>
      </c>
      <c r="H80" t="s">
        <v>186</v>
      </c>
    </row>
    <row r="81" spans="1:8" x14ac:dyDescent="0.35">
      <c r="A81" t="s">
        <v>311</v>
      </c>
      <c r="B81" t="s">
        <v>257</v>
      </c>
      <c r="C81" t="s">
        <v>252</v>
      </c>
      <c r="D81" t="s">
        <v>186</v>
      </c>
      <c r="E81" t="s">
        <v>207</v>
      </c>
      <c r="F81" t="s">
        <v>71</v>
      </c>
      <c r="G81" t="s">
        <v>153</v>
      </c>
      <c r="H81" t="s">
        <v>186</v>
      </c>
    </row>
    <row r="82" spans="1:8" x14ac:dyDescent="0.35">
      <c r="A82" t="s">
        <v>300</v>
      </c>
      <c r="B82" t="s">
        <v>257</v>
      </c>
      <c r="C82" t="s">
        <v>217</v>
      </c>
      <c r="D82" t="s">
        <v>186</v>
      </c>
      <c r="E82" t="s">
        <v>208</v>
      </c>
      <c r="F82" t="s">
        <v>71</v>
      </c>
      <c r="G82" t="s">
        <v>124</v>
      </c>
      <c r="H82" t="s">
        <v>186</v>
      </c>
    </row>
    <row r="83" spans="1:8" x14ac:dyDescent="0.35">
      <c r="A83" t="s">
        <v>319</v>
      </c>
      <c r="B83" t="s">
        <v>257</v>
      </c>
      <c r="C83" t="s">
        <v>216</v>
      </c>
      <c r="D83" t="s">
        <v>186</v>
      </c>
      <c r="E83" t="s">
        <v>363</v>
      </c>
      <c r="F83" t="s">
        <v>71</v>
      </c>
      <c r="G83" t="s">
        <v>140</v>
      </c>
      <c r="H83" t="s">
        <v>186</v>
      </c>
    </row>
    <row r="84" spans="1:8" x14ac:dyDescent="0.35">
      <c r="A84" t="s">
        <v>307</v>
      </c>
      <c r="B84" t="s">
        <v>257</v>
      </c>
      <c r="C84" t="s">
        <v>222</v>
      </c>
      <c r="D84" t="s">
        <v>186</v>
      </c>
      <c r="E84" t="s">
        <v>197</v>
      </c>
      <c r="F84" t="s">
        <v>73</v>
      </c>
      <c r="G84" t="s">
        <v>163</v>
      </c>
      <c r="H84" t="s">
        <v>186</v>
      </c>
    </row>
    <row r="85" spans="1:8" x14ac:dyDescent="0.35">
      <c r="A85" t="s">
        <v>296</v>
      </c>
      <c r="B85" t="s">
        <v>257</v>
      </c>
      <c r="C85" t="s">
        <v>253</v>
      </c>
      <c r="D85" t="s">
        <v>186</v>
      </c>
      <c r="E85" t="s">
        <v>203</v>
      </c>
      <c r="F85" t="s">
        <v>73</v>
      </c>
      <c r="G85" t="s">
        <v>385</v>
      </c>
      <c r="H85" t="s">
        <v>186</v>
      </c>
    </row>
    <row r="86" spans="1:8" x14ac:dyDescent="0.35">
      <c r="A86" t="s">
        <v>325</v>
      </c>
      <c r="B86" t="s">
        <v>257</v>
      </c>
      <c r="C86" t="s">
        <v>254</v>
      </c>
      <c r="D86" t="s">
        <v>186</v>
      </c>
      <c r="E86" t="s">
        <v>364</v>
      </c>
      <c r="F86" t="s">
        <v>73</v>
      </c>
      <c r="G86" t="s">
        <v>382</v>
      </c>
      <c r="H86" t="s">
        <v>186</v>
      </c>
    </row>
    <row r="87" spans="1:8" x14ac:dyDescent="0.35">
      <c r="A87" t="s">
        <v>326</v>
      </c>
      <c r="B87" t="s">
        <v>257</v>
      </c>
      <c r="C87" t="s">
        <v>255</v>
      </c>
      <c r="D87" t="s">
        <v>186</v>
      </c>
      <c r="E87" t="s">
        <v>266</v>
      </c>
      <c r="F87" t="s">
        <v>73</v>
      </c>
      <c r="G87" t="s">
        <v>150</v>
      </c>
      <c r="H87" t="s">
        <v>186</v>
      </c>
    </row>
    <row r="88" spans="1:8" x14ac:dyDescent="0.35">
      <c r="A88" t="s">
        <v>328</v>
      </c>
      <c r="B88" t="s">
        <v>257</v>
      </c>
      <c r="C88" t="s">
        <v>219</v>
      </c>
      <c r="D88" t="s">
        <v>256</v>
      </c>
      <c r="E88" t="s">
        <v>202</v>
      </c>
      <c r="F88" t="s">
        <v>73</v>
      </c>
      <c r="G88" t="s">
        <v>167</v>
      </c>
      <c r="H88" t="s">
        <v>186</v>
      </c>
    </row>
    <row r="89" spans="1:8" x14ac:dyDescent="0.35">
      <c r="A89" t="s">
        <v>331</v>
      </c>
      <c r="B89" t="s">
        <v>257</v>
      </c>
      <c r="C89" t="s">
        <v>212</v>
      </c>
      <c r="D89" t="s">
        <v>256</v>
      </c>
      <c r="E89" t="s">
        <v>352</v>
      </c>
      <c r="F89" t="s">
        <v>73</v>
      </c>
      <c r="G89" t="s">
        <v>180</v>
      </c>
      <c r="H89" t="s">
        <v>186</v>
      </c>
    </row>
    <row r="90" spans="1:8" x14ac:dyDescent="0.35">
      <c r="A90" t="s">
        <v>299</v>
      </c>
      <c r="B90" t="s">
        <v>60</v>
      </c>
      <c r="C90" t="s">
        <v>225</v>
      </c>
      <c r="D90" t="s">
        <v>256</v>
      </c>
      <c r="E90" t="s">
        <v>231</v>
      </c>
      <c r="F90" t="s">
        <v>73</v>
      </c>
      <c r="G90" t="s">
        <v>132</v>
      </c>
      <c r="H90" t="s">
        <v>187</v>
      </c>
    </row>
    <row r="91" spans="1:8" x14ac:dyDescent="0.35">
      <c r="A91" t="s">
        <v>294</v>
      </c>
      <c r="B91" t="s">
        <v>60</v>
      </c>
      <c r="C91" t="s">
        <v>242</v>
      </c>
      <c r="D91" t="s">
        <v>256</v>
      </c>
      <c r="E91" t="s">
        <v>356</v>
      </c>
      <c r="F91" t="s">
        <v>73</v>
      </c>
      <c r="G91" t="s">
        <v>135</v>
      </c>
      <c r="H91" t="s">
        <v>187</v>
      </c>
    </row>
    <row r="92" spans="1:8" x14ac:dyDescent="0.35">
      <c r="A92" t="s">
        <v>297</v>
      </c>
      <c r="B92" t="s">
        <v>60</v>
      </c>
      <c r="C92" t="s">
        <v>237</v>
      </c>
      <c r="D92" t="s">
        <v>256</v>
      </c>
      <c r="E92" t="s">
        <v>207</v>
      </c>
      <c r="F92" t="s">
        <v>73</v>
      </c>
      <c r="G92" t="s">
        <v>155</v>
      </c>
      <c r="H92" t="s">
        <v>187</v>
      </c>
    </row>
    <row r="93" spans="1:8" x14ac:dyDescent="0.35">
      <c r="A93" t="s">
        <v>332</v>
      </c>
      <c r="B93" t="s">
        <v>60</v>
      </c>
      <c r="C93" t="s">
        <v>213</v>
      </c>
      <c r="D93" t="s">
        <v>256</v>
      </c>
      <c r="E93" t="s">
        <v>201</v>
      </c>
      <c r="F93" t="s">
        <v>73</v>
      </c>
      <c r="G93" t="s">
        <v>384</v>
      </c>
      <c r="H93" t="s">
        <v>187</v>
      </c>
    </row>
    <row r="94" spans="1:8" x14ac:dyDescent="0.35">
      <c r="A94" t="s">
        <v>310</v>
      </c>
      <c r="B94" t="s">
        <v>60</v>
      </c>
      <c r="C94" t="s">
        <v>214</v>
      </c>
      <c r="D94" t="s">
        <v>256</v>
      </c>
      <c r="E94" t="s">
        <v>351</v>
      </c>
      <c r="F94" t="s">
        <v>267</v>
      </c>
      <c r="G94" t="s">
        <v>161</v>
      </c>
      <c r="H94" t="s">
        <v>187</v>
      </c>
    </row>
    <row r="95" spans="1:8" x14ac:dyDescent="0.35">
      <c r="A95" t="s">
        <v>300</v>
      </c>
      <c r="B95" t="s">
        <v>60</v>
      </c>
      <c r="C95" t="s">
        <v>244</v>
      </c>
      <c r="D95" t="s">
        <v>256</v>
      </c>
      <c r="E95" t="s">
        <v>200</v>
      </c>
      <c r="F95" t="s">
        <v>268</v>
      </c>
      <c r="G95" t="s">
        <v>380</v>
      </c>
      <c r="H95" t="s">
        <v>187</v>
      </c>
    </row>
    <row r="96" spans="1:8" x14ac:dyDescent="0.35">
      <c r="A96" t="s">
        <v>295</v>
      </c>
      <c r="B96" t="s">
        <v>60</v>
      </c>
      <c r="C96" t="s">
        <v>202</v>
      </c>
      <c r="D96" t="s">
        <v>256</v>
      </c>
      <c r="E96" t="s">
        <v>365</v>
      </c>
      <c r="F96" t="s">
        <v>272</v>
      </c>
      <c r="G96" t="s">
        <v>159</v>
      </c>
      <c r="H96" t="s">
        <v>187</v>
      </c>
    </row>
    <row r="97" spans="1:8" x14ac:dyDescent="0.35">
      <c r="A97" t="s">
        <v>302</v>
      </c>
      <c r="B97" t="s">
        <v>60</v>
      </c>
      <c r="C97" t="s">
        <v>234</v>
      </c>
      <c r="D97" t="s">
        <v>256</v>
      </c>
      <c r="E97" t="s">
        <v>354</v>
      </c>
      <c r="F97" t="s">
        <v>272</v>
      </c>
      <c r="G97" t="s">
        <v>151</v>
      </c>
      <c r="H97" t="s">
        <v>187</v>
      </c>
    </row>
    <row r="98" spans="1:8" x14ac:dyDescent="0.35">
      <c r="A98" t="s">
        <v>293</v>
      </c>
      <c r="B98" t="s">
        <v>60</v>
      </c>
      <c r="C98" t="s">
        <v>232</v>
      </c>
      <c r="D98" t="s">
        <v>256</v>
      </c>
      <c r="E98" t="s">
        <v>355</v>
      </c>
      <c r="F98" t="s">
        <v>272</v>
      </c>
      <c r="G98" t="s">
        <v>378</v>
      </c>
      <c r="H98" t="s">
        <v>187</v>
      </c>
    </row>
    <row r="99" spans="1:8" x14ac:dyDescent="0.35">
      <c r="A99" t="s">
        <v>109</v>
      </c>
      <c r="B99" t="s">
        <v>60</v>
      </c>
      <c r="C99" t="s">
        <v>228</v>
      </c>
      <c r="D99" t="s">
        <v>256</v>
      </c>
      <c r="E99" t="s">
        <v>274</v>
      </c>
      <c r="F99" t="s">
        <v>272</v>
      </c>
      <c r="G99" t="s">
        <v>143</v>
      </c>
      <c r="H99" t="s">
        <v>187</v>
      </c>
    </row>
    <row r="100" spans="1:8" x14ac:dyDescent="0.35">
      <c r="A100" t="s">
        <v>319</v>
      </c>
      <c r="B100" t="s">
        <v>60</v>
      </c>
      <c r="C100" t="s">
        <v>218</v>
      </c>
      <c r="D100" t="s">
        <v>256</v>
      </c>
      <c r="E100" t="s">
        <v>366</v>
      </c>
      <c r="F100" t="s">
        <v>272</v>
      </c>
      <c r="G100" t="s">
        <v>175</v>
      </c>
      <c r="H100" t="s">
        <v>187</v>
      </c>
    </row>
    <row r="101" spans="1:8" x14ac:dyDescent="0.35">
      <c r="A101" t="s">
        <v>307</v>
      </c>
      <c r="B101" t="s">
        <v>60</v>
      </c>
      <c r="C101" t="s">
        <v>245</v>
      </c>
      <c r="D101" t="s">
        <v>256</v>
      </c>
      <c r="E101" t="s">
        <v>202</v>
      </c>
      <c r="F101" t="s">
        <v>272</v>
      </c>
      <c r="G101" t="s">
        <v>152</v>
      </c>
      <c r="H101" t="s">
        <v>187</v>
      </c>
    </row>
    <row r="102" spans="1:8" x14ac:dyDescent="0.35">
      <c r="A102" t="s">
        <v>316</v>
      </c>
      <c r="B102" t="s">
        <v>60</v>
      </c>
      <c r="C102" t="s">
        <v>246</v>
      </c>
      <c r="D102" t="s">
        <v>256</v>
      </c>
      <c r="E102" t="s">
        <v>352</v>
      </c>
      <c r="F102" t="s">
        <v>272</v>
      </c>
      <c r="G102" t="s">
        <v>134</v>
      </c>
      <c r="H102" t="s">
        <v>187</v>
      </c>
    </row>
    <row r="103" spans="1:8" x14ac:dyDescent="0.35">
      <c r="A103" t="s">
        <v>325</v>
      </c>
      <c r="B103" t="s">
        <v>60</v>
      </c>
      <c r="C103" t="s">
        <v>220</v>
      </c>
      <c r="D103" t="s">
        <v>256</v>
      </c>
      <c r="E103" t="s">
        <v>367</v>
      </c>
      <c r="F103" t="s">
        <v>272</v>
      </c>
      <c r="G103" t="s">
        <v>382</v>
      </c>
      <c r="H103" t="s">
        <v>187</v>
      </c>
    </row>
    <row r="104" spans="1:8" x14ac:dyDescent="0.35">
      <c r="A104" t="s">
        <v>309</v>
      </c>
      <c r="B104" t="s">
        <v>60</v>
      </c>
      <c r="C104" t="s">
        <v>208</v>
      </c>
      <c r="D104" t="s">
        <v>256</v>
      </c>
      <c r="E104" t="s">
        <v>353</v>
      </c>
      <c r="F104" t="s">
        <v>272</v>
      </c>
      <c r="G104" t="s">
        <v>162</v>
      </c>
      <c r="H104" t="s">
        <v>187</v>
      </c>
    </row>
    <row r="105" spans="1:8" x14ac:dyDescent="0.35">
      <c r="A105" t="s">
        <v>310</v>
      </c>
      <c r="B105" t="s">
        <v>333</v>
      </c>
      <c r="C105" t="s">
        <v>236</v>
      </c>
      <c r="D105" t="s">
        <v>256</v>
      </c>
      <c r="E105" t="s">
        <v>199</v>
      </c>
      <c r="F105" t="s">
        <v>272</v>
      </c>
      <c r="G105" t="s">
        <v>167</v>
      </c>
      <c r="H105" t="s">
        <v>187</v>
      </c>
    </row>
    <row r="106" spans="1:8" x14ac:dyDescent="0.35">
      <c r="A106" t="s">
        <v>105</v>
      </c>
      <c r="B106" t="s">
        <v>333</v>
      </c>
      <c r="C106" t="s">
        <v>248</v>
      </c>
      <c r="D106" t="s">
        <v>256</v>
      </c>
      <c r="E106" t="s">
        <v>204</v>
      </c>
      <c r="F106" t="s">
        <v>272</v>
      </c>
      <c r="G106" t="s">
        <v>132</v>
      </c>
      <c r="H106" t="s">
        <v>257</v>
      </c>
    </row>
    <row r="107" spans="1:8" x14ac:dyDescent="0.35">
      <c r="A107" t="s">
        <v>334</v>
      </c>
      <c r="B107" t="s">
        <v>333</v>
      </c>
      <c r="C107" t="s">
        <v>252</v>
      </c>
      <c r="D107" t="s">
        <v>256</v>
      </c>
      <c r="E107" t="s">
        <v>368</v>
      </c>
      <c r="F107" t="s">
        <v>272</v>
      </c>
      <c r="G107" t="s">
        <v>156</v>
      </c>
      <c r="H107" t="s">
        <v>257</v>
      </c>
    </row>
    <row r="108" spans="1:8" x14ac:dyDescent="0.35">
      <c r="A108" t="s">
        <v>299</v>
      </c>
      <c r="B108" t="s">
        <v>71</v>
      </c>
      <c r="C108" t="s">
        <v>217</v>
      </c>
      <c r="D108" t="s">
        <v>256</v>
      </c>
      <c r="E108" t="s">
        <v>225</v>
      </c>
      <c r="F108" t="s">
        <v>272</v>
      </c>
      <c r="G108" t="s">
        <v>155</v>
      </c>
      <c r="H108" t="s">
        <v>257</v>
      </c>
    </row>
    <row r="109" spans="1:8" x14ac:dyDescent="0.35">
      <c r="A109" t="s">
        <v>294</v>
      </c>
      <c r="B109" t="s">
        <v>71</v>
      </c>
      <c r="C109" t="s">
        <v>238</v>
      </c>
      <c r="D109" t="s">
        <v>257</v>
      </c>
      <c r="E109" t="s">
        <v>231</v>
      </c>
      <c r="F109" t="s">
        <v>272</v>
      </c>
      <c r="G109" t="s">
        <v>126</v>
      </c>
      <c r="H109" t="s">
        <v>257</v>
      </c>
    </row>
    <row r="110" spans="1:8" x14ac:dyDescent="0.35">
      <c r="A110" t="s">
        <v>109</v>
      </c>
      <c r="B110" t="s">
        <v>71</v>
      </c>
      <c r="C110" t="s">
        <v>212</v>
      </c>
      <c r="D110" t="s">
        <v>257</v>
      </c>
      <c r="E110" t="s">
        <v>200</v>
      </c>
      <c r="F110" t="s">
        <v>272</v>
      </c>
      <c r="G110" t="s">
        <v>161</v>
      </c>
      <c r="H110" t="s">
        <v>257</v>
      </c>
    </row>
    <row r="111" spans="1:8" x14ac:dyDescent="0.35">
      <c r="A111" t="s">
        <v>297</v>
      </c>
      <c r="B111" t="s">
        <v>71</v>
      </c>
      <c r="C111" t="s">
        <v>225</v>
      </c>
      <c r="D111" t="s">
        <v>257</v>
      </c>
      <c r="E111" t="s">
        <v>201</v>
      </c>
      <c r="F111" t="s">
        <v>272</v>
      </c>
      <c r="G111" t="s">
        <v>173</v>
      </c>
      <c r="H111" t="s">
        <v>257</v>
      </c>
    </row>
    <row r="112" spans="1:8" x14ac:dyDescent="0.35">
      <c r="A112" t="s">
        <v>295</v>
      </c>
      <c r="B112" t="s">
        <v>71</v>
      </c>
      <c r="C112" t="s">
        <v>235</v>
      </c>
      <c r="D112" t="s">
        <v>257</v>
      </c>
      <c r="E112" t="s">
        <v>369</v>
      </c>
      <c r="F112" t="s">
        <v>272</v>
      </c>
      <c r="G112" t="s">
        <v>157</v>
      </c>
      <c r="H112" t="s">
        <v>257</v>
      </c>
    </row>
    <row r="113" spans="1:8" x14ac:dyDescent="0.35">
      <c r="A113" t="s">
        <v>293</v>
      </c>
      <c r="B113" t="s">
        <v>71</v>
      </c>
      <c r="C113" t="s">
        <v>230</v>
      </c>
      <c r="D113" t="s">
        <v>257</v>
      </c>
      <c r="E113" t="s">
        <v>370</v>
      </c>
      <c r="F113" t="s">
        <v>272</v>
      </c>
      <c r="G113" t="s">
        <v>379</v>
      </c>
      <c r="H113" t="s">
        <v>257</v>
      </c>
    </row>
    <row r="114" spans="1:8" x14ac:dyDescent="0.35">
      <c r="A114" t="s">
        <v>300</v>
      </c>
      <c r="B114" t="s">
        <v>71</v>
      </c>
      <c r="C114" t="s">
        <v>219</v>
      </c>
      <c r="D114" t="s">
        <v>257</v>
      </c>
      <c r="E114" t="s">
        <v>371</v>
      </c>
      <c r="F114" t="s">
        <v>272</v>
      </c>
      <c r="G114" t="s">
        <v>159</v>
      </c>
      <c r="H114" t="s">
        <v>257</v>
      </c>
    </row>
    <row r="115" spans="1:8" x14ac:dyDescent="0.35">
      <c r="A115" t="s">
        <v>301</v>
      </c>
      <c r="B115" t="s">
        <v>71</v>
      </c>
      <c r="C115" t="s">
        <v>242</v>
      </c>
      <c r="D115" t="s">
        <v>257</v>
      </c>
      <c r="E115" t="s">
        <v>372</v>
      </c>
      <c r="F115" t="s">
        <v>272</v>
      </c>
      <c r="G115" t="s">
        <v>158</v>
      </c>
      <c r="H115" t="s">
        <v>257</v>
      </c>
    </row>
    <row r="116" spans="1:8" x14ac:dyDescent="0.35">
      <c r="A116" t="s">
        <v>302</v>
      </c>
      <c r="B116" t="s">
        <v>71</v>
      </c>
      <c r="C116" t="s">
        <v>243</v>
      </c>
      <c r="D116" t="s">
        <v>257</v>
      </c>
      <c r="E116" t="s">
        <v>205</v>
      </c>
      <c r="F116" t="s">
        <v>272</v>
      </c>
      <c r="G116" t="s">
        <v>352</v>
      </c>
      <c r="H116" t="s">
        <v>257</v>
      </c>
    </row>
    <row r="117" spans="1:8" x14ac:dyDescent="0.35">
      <c r="A117" t="s">
        <v>105</v>
      </c>
      <c r="B117" t="s">
        <v>71</v>
      </c>
      <c r="C117" t="s">
        <v>213</v>
      </c>
      <c r="D117" t="s">
        <v>257</v>
      </c>
      <c r="E117" t="s">
        <v>203</v>
      </c>
      <c r="F117" t="s">
        <v>272</v>
      </c>
      <c r="G117" t="s">
        <v>381</v>
      </c>
      <c r="H117" t="s">
        <v>257</v>
      </c>
    </row>
    <row r="118" spans="1:8" x14ac:dyDescent="0.35">
      <c r="A118" t="s">
        <v>310</v>
      </c>
      <c r="B118" t="s">
        <v>71</v>
      </c>
      <c r="C118" t="s">
        <v>197</v>
      </c>
      <c r="D118" t="s">
        <v>257</v>
      </c>
      <c r="E118" t="s">
        <v>198</v>
      </c>
      <c r="F118" t="s">
        <v>272</v>
      </c>
      <c r="G118" t="s">
        <v>151</v>
      </c>
      <c r="H118" t="s">
        <v>257</v>
      </c>
    </row>
    <row r="119" spans="1:8" x14ac:dyDescent="0.35">
      <c r="A119" t="s">
        <v>298</v>
      </c>
      <c r="B119" t="s">
        <v>71</v>
      </c>
      <c r="C119" t="s">
        <v>232</v>
      </c>
      <c r="D119" t="s">
        <v>257</v>
      </c>
      <c r="E119" t="s">
        <v>203</v>
      </c>
      <c r="F119" t="s">
        <v>288</v>
      </c>
      <c r="G119" t="s">
        <v>143</v>
      </c>
      <c r="H119" t="s">
        <v>257</v>
      </c>
    </row>
    <row r="120" spans="1:8" x14ac:dyDescent="0.35">
      <c r="A120" t="s">
        <v>305</v>
      </c>
      <c r="B120" t="s">
        <v>71</v>
      </c>
      <c r="C120" t="s">
        <v>234</v>
      </c>
      <c r="D120" t="s">
        <v>257</v>
      </c>
      <c r="E120" t="s">
        <v>355</v>
      </c>
      <c r="F120" t="s">
        <v>288</v>
      </c>
      <c r="G120" t="s">
        <v>175</v>
      </c>
      <c r="H120" t="s">
        <v>257</v>
      </c>
    </row>
    <row r="121" spans="1:8" x14ac:dyDescent="0.35">
      <c r="A121" t="s">
        <v>315</v>
      </c>
      <c r="B121" t="s">
        <v>71</v>
      </c>
      <c r="C121" t="s">
        <v>218</v>
      </c>
      <c r="D121" t="s">
        <v>257</v>
      </c>
      <c r="E121" t="s">
        <v>205</v>
      </c>
      <c r="F121" t="s">
        <v>288</v>
      </c>
      <c r="G121" t="s">
        <v>171</v>
      </c>
      <c r="H121" t="s">
        <v>257</v>
      </c>
    </row>
    <row r="122" spans="1:8" x14ac:dyDescent="0.35">
      <c r="A122" t="s">
        <v>309</v>
      </c>
      <c r="B122" t="s">
        <v>71</v>
      </c>
      <c r="C122" t="s">
        <v>229</v>
      </c>
      <c r="D122" t="s">
        <v>257</v>
      </c>
      <c r="E122" t="s">
        <v>199</v>
      </c>
      <c r="F122" t="s">
        <v>288</v>
      </c>
      <c r="G122" t="s">
        <v>152</v>
      </c>
      <c r="H122" t="s">
        <v>257</v>
      </c>
    </row>
    <row r="123" spans="1:8" x14ac:dyDescent="0.35">
      <c r="A123" t="s">
        <v>314</v>
      </c>
      <c r="B123" t="s">
        <v>71</v>
      </c>
      <c r="C123" t="s">
        <v>236</v>
      </c>
      <c r="D123" t="s">
        <v>257</v>
      </c>
      <c r="E123" t="s">
        <v>200</v>
      </c>
      <c r="F123" t="s">
        <v>288</v>
      </c>
      <c r="G123" t="s">
        <v>134</v>
      </c>
      <c r="H123" t="s">
        <v>257</v>
      </c>
    </row>
    <row r="124" spans="1:8" x14ac:dyDescent="0.35">
      <c r="A124" t="s">
        <v>335</v>
      </c>
      <c r="B124" t="s">
        <v>71</v>
      </c>
      <c r="C124" t="s">
        <v>249</v>
      </c>
      <c r="D124" t="s">
        <v>257</v>
      </c>
      <c r="E124" t="s">
        <v>206</v>
      </c>
      <c r="F124" t="s">
        <v>288</v>
      </c>
      <c r="G124" t="s">
        <v>378</v>
      </c>
      <c r="H124" t="s">
        <v>257</v>
      </c>
    </row>
    <row r="125" spans="1:8" x14ac:dyDescent="0.35">
      <c r="A125" t="s">
        <v>321</v>
      </c>
      <c r="B125" t="s">
        <v>71</v>
      </c>
      <c r="C125" t="s">
        <v>250</v>
      </c>
      <c r="D125" t="s">
        <v>257</v>
      </c>
      <c r="E125" t="s">
        <v>201</v>
      </c>
      <c r="F125" t="s">
        <v>288</v>
      </c>
      <c r="G125" t="s">
        <v>386</v>
      </c>
      <c r="H125" t="s">
        <v>257</v>
      </c>
    </row>
    <row r="126" spans="1:8" x14ac:dyDescent="0.35">
      <c r="A126" t="s">
        <v>314</v>
      </c>
      <c r="B126" t="s">
        <v>73</v>
      </c>
      <c r="C126" t="s">
        <v>258</v>
      </c>
      <c r="D126" t="s">
        <v>257</v>
      </c>
      <c r="E126" t="s">
        <v>351</v>
      </c>
      <c r="F126" t="s">
        <v>288</v>
      </c>
      <c r="G126" t="s">
        <v>153</v>
      </c>
      <c r="H126" t="s">
        <v>257</v>
      </c>
    </row>
    <row r="127" spans="1:8" x14ac:dyDescent="0.35">
      <c r="A127" t="s">
        <v>109</v>
      </c>
      <c r="B127" t="s">
        <v>73</v>
      </c>
      <c r="C127" t="s">
        <v>202</v>
      </c>
      <c r="D127" t="s">
        <v>257</v>
      </c>
      <c r="E127" t="s">
        <v>202</v>
      </c>
      <c r="F127" t="s">
        <v>290</v>
      </c>
      <c r="G127" t="s">
        <v>385</v>
      </c>
      <c r="H127" t="s">
        <v>257</v>
      </c>
    </row>
    <row r="128" spans="1:8" x14ac:dyDescent="0.35">
      <c r="A128" t="s">
        <v>294</v>
      </c>
      <c r="B128" t="s">
        <v>73</v>
      </c>
      <c r="C128" t="s">
        <v>237</v>
      </c>
      <c r="D128" t="s">
        <v>257</v>
      </c>
      <c r="E128" t="s">
        <v>352</v>
      </c>
      <c r="F128" t="s">
        <v>290</v>
      </c>
      <c r="G128" t="s">
        <v>150</v>
      </c>
      <c r="H128" t="s">
        <v>257</v>
      </c>
    </row>
    <row r="129" spans="1:8" x14ac:dyDescent="0.35">
      <c r="A129" t="s">
        <v>293</v>
      </c>
      <c r="B129" t="s">
        <v>73</v>
      </c>
      <c r="C129" t="s">
        <v>219</v>
      </c>
      <c r="D129" t="s">
        <v>60</v>
      </c>
      <c r="E129" t="s">
        <v>204</v>
      </c>
      <c r="F129" t="s">
        <v>290</v>
      </c>
      <c r="G129" t="s">
        <v>180</v>
      </c>
      <c r="H129" t="s">
        <v>257</v>
      </c>
    </row>
    <row r="130" spans="1:8" x14ac:dyDescent="0.35">
      <c r="A130" t="s">
        <v>300</v>
      </c>
      <c r="B130" t="s">
        <v>73</v>
      </c>
      <c r="C130" t="s">
        <v>212</v>
      </c>
      <c r="D130" t="s">
        <v>60</v>
      </c>
      <c r="E130" t="s">
        <v>200</v>
      </c>
      <c r="F130" t="s">
        <v>290</v>
      </c>
      <c r="G130" t="s">
        <v>156</v>
      </c>
      <c r="H130" t="s">
        <v>60</v>
      </c>
    </row>
    <row r="131" spans="1:8" x14ac:dyDescent="0.35">
      <c r="A131" t="s">
        <v>311</v>
      </c>
      <c r="B131" t="s">
        <v>73</v>
      </c>
      <c r="C131" t="s">
        <v>242</v>
      </c>
      <c r="D131" t="s">
        <v>60</v>
      </c>
      <c r="E131" t="s">
        <v>373</v>
      </c>
      <c r="F131" t="s">
        <v>290</v>
      </c>
      <c r="G131" t="s">
        <v>155</v>
      </c>
      <c r="H131" t="s">
        <v>60</v>
      </c>
    </row>
    <row r="132" spans="1:8" x14ac:dyDescent="0.35">
      <c r="A132" t="s">
        <v>295</v>
      </c>
      <c r="B132" t="s">
        <v>73</v>
      </c>
      <c r="C132" t="s">
        <v>243</v>
      </c>
      <c r="D132" t="s">
        <v>60</v>
      </c>
      <c r="E132" t="s">
        <v>197</v>
      </c>
      <c r="F132" t="s">
        <v>72</v>
      </c>
      <c r="G132" t="s">
        <v>161</v>
      </c>
      <c r="H132" t="s">
        <v>60</v>
      </c>
    </row>
    <row r="133" spans="1:8" x14ac:dyDescent="0.35">
      <c r="A133" t="s">
        <v>319</v>
      </c>
      <c r="B133" t="s">
        <v>73</v>
      </c>
      <c r="C133" t="s">
        <v>237</v>
      </c>
      <c r="D133" t="s">
        <v>60</v>
      </c>
      <c r="E133" t="s">
        <v>354</v>
      </c>
      <c r="F133" t="s">
        <v>72</v>
      </c>
      <c r="G133" t="s">
        <v>173</v>
      </c>
      <c r="H133" t="s">
        <v>60</v>
      </c>
    </row>
    <row r="134" spans="1:8" x14ac:dyDescent="0.35">
      <c r="A134" t="s">
        <v>296</v>
      </c>
      <c r="B134" t="s">
        <v>73</v>
      </c>
      <c r="C134" t="s">
        <v>213</v>
      </c>
      <c r="D134" t="s">
        <v>60</v>
      </c>
      <c r="E134" t="s">
        <v>355</v>
      </c>
      <c r="F134" t="s">
        <v>72</v>
      </c>
      <c r="G134" t="s">
        <v>151</v>
      </c>
      <c r="H134" t="s">
        <v>60</v>
      </c>
    </row>
    <row r="135" spans="1:8" x14ac:dyDescent="0.35">
      <c r="A135" t="s">
        <v>301</v>
      </c>
      <c r="B135" t="s">
        <v>73</v>
      </c>
      <c r="C135" t="s">
        <v>244</v>
      </c>
      <c r="D135" t="s">
        <v>60</v>
      </c>
      <c r="E135" t="s">
        <v>351</v>
      </c>
      <c r="F135" t="s">
        <v>72</v>
      </c>
      <c r="G135" t="s">
        <v>159</v>
      </c>
      <c r="H135" t="s">
        <v>60</v>
      </c>
    </row>
    <row r="136" spans="1:8" x14ac:dyDescent="0.35">
      <c r="A136" t="s">
        <v>302</v>
      </c>
      <c r="B136" t="s">
        <v>73</v>
      </c>
      <c r="C136" t="s">
        <v>208</v>
      </c>
      <c r="D136" t="s">
        <v>60</v>
      </c>
      <c r="E136" t="s">
        <v>204</v>
      </c>
      <c r="F136" t="s">
        <v>72</v>
      </c>
      <c r="G136" t="s">
        <v>377</v>
      </c>
      <c r="H136" t="s">
        <v>60</v>
      </c>
    </row>
    <row r="137" spans="1:8" x14ac:dyDescent="0.35">
      <c r="A137" t="s">
        <v>105</v>
      </c>
      <c r="B137" t="s">
        <v>73</v>
      </c>
      <c r="C137" t="s">
        <v>234</v>
      </c>
      <c r="D137" t="s">
        <v>60</v>
      </c>
      <c r="E137" t="s">
        <v>291</v>
      </c>
      <c r="F137" t="s">
        <v>72</v>
      </c>
      <c r="G137" t="s">
        <v>143</v>
      </c>
      <c r="H137" t="s">
        <v>60</v>
      </c>
    </row>
    <row r="138" spans="1:8" x14ac:dyDescent="0.35">
      <c r="A138" t="s">
        <v>310</v>
      </c>
      <c r="B138" t="s">
        <v>73</v>
      </c>
      <c r="C138" t="s">
        <v>197</v>
      </c>
      <c r="D138" t="s">
        <v>60</v>
      </c>
      <c r="E138" t="s">
        <v>231</v>
      </c>
      <c r="F138" t="s">
        <v>72</v>
      </c>
      <c r="G138" t="s">
        <v>171</v>
      </c>
      <c r="H138" t="s">
        <v>60</v>
      </c>
    </row>
    <row r="139" spans="1:8" x14ac:dyDescent="0.35">
      <c r="A139" t="s">
        <v>305</v>
      </c>
      <c r="B139" t="s">
        <v>73</v>
      </c>
      <c r="C139" t="s">
        <v>231</v>
      </c>
      <c r="D139" t="s">
        <v>60</v>
      </c>
      <c r="E139" t="s">
        <v>359</v>
      </c>
      <c r="F139" t="s">
        <v>72</v>
      </c>
      <c r="G139" t="s">
        <v>135</v>
      </c>
      <c r="H139" t="s">
        <v>60</v>
      </c>
    </row>
    <row r="140" spans="1:8" x14ac:dyDescent="0.35">
      <c r="A140" t="s">
        <v>312</v>
      </c>
      <c r="B140" t="s">
        <v>73</v>
      </c>
      <c r="C140" t="s">
        <v>259</v>
      </c>
      <c r="D140" t="s">
        <v>60</v>
      </c>
      <c r="E140" t="s">
        <v>203</v>
      </c>
      <c r="F140" t="s">
        <v>72</v>
      </c>
      <c r="G140" t="s">
        <v>152</v>
      </c>
      <c r="H140" t="s">
        <v>60</v>
      </c>
    </row>
    <row r="141" spans="1:8" x14ac:dyDescent="0.35">
      <c r="A141" t="s">
        <v>299</v>
      </c>
      <c r="B141" t="s">
        <v>267</v>
      </c>
      <c r="C141" t="s">
        <v>214</v>
      </c>
      <c r="D141" t="s">
        <v>60</v>
      </c>
      <c r="E141" t="s">
        <v>357</v>
      </c>
      <c r="F141" t="s">
        <v>72</v>
      </c>
      <c r="G141" t="s">
        <v>379</v>
      </c>
      <c r="H141" t="s">
        <v>60</v>
      </c>
    </row>
    <row r="142" spans="1:8" x14ac:dyDescent="0.35">
      <c r="A142" t="s">
        <v>294</v>
      </c>
      <c r="B142" t="s">
        <v>267</v>
      </c>
      <c r="C142" t="s">
        <v>217</v>
      </c>
      <c r="D142" t="s">
        <v>60</v>
      </c>
      <c r="E142" t="s">
        <v>374</v>
      </c>
      <c r="F142" t="s">
        <v>72</v>
      </c>
      <c r="G142" t="s">
        <v>131</v>
      </c>
      <c r="H142" t="s">
        <v>60</v>
      </c>
    </row>
    <row r="143" spans="1:8" x14ac:dyDescent="0.35">
      <c r="A143" t="s">
        <v>293</v>
      </c>
      <c r="B143" t="s">
        <v>267</v>
      </c>
      <c r="C143" t="s">
        <v>202</v>
      </c>
      <c r="D143" t="s">
        <v>60</v>
      </c>
      <c r="E143" t="s">
        <v>373</v>
      </c>
      <c r="F143" t="s">
        <v>72</v>
      </c>
      <c r="G143" t="s">
        <v>170</v>
      </c>
      <c r="H143" t="s">
        <v>60</v>
      </c>
    </row>
    <row r="144" spans="1:8" x14ac:dyDescent="0.35">
      <c r="A144" t="s">
        <v>105</v>
      </c>
      <c r="B144" t="s">
        <v>267</v>
      </c>
      <c r="C144" t="s">
        <v>260</v>
      </c>
      <c r="D144" t="s">
        <v>60</v>
      </c>
      <c r="E144" t="s">
        <v>375</v>
      </c>
      <c r="F144" t="s">
        <v>72</v>
      </c>
      <c r="G144" t="s">
        <v>169</v>
      </c>
      <c r="H144" t="s">
        <v>60</v>
      </c>
    </row>
    <row r="145" spans="1:8" x14ac:dyDescent="0.35">
      <c r="A145" t="s">
        <v>298</v>
      </c>
      <c r="B145" t="s">
        <v>267</v>
      </c>
      <c r="C145" t="s">
        <v>261</v>
      </c>
      <c r="D145" t="s">
        <v>60</v>
      </c>
      <c r="E145" t="s">
        <v>358</v>
      </c>
      <c r="F145" t="s">
        <v>72</v>
      </c>
      <c r="G145" t="s">
        <v>378</v>
      </c>
      <c r="H145" t="s">
        <v>60</v>
      </c>
    </row>
    <row r="146" spans="1:8" x14ac:dyDescent="0.35">
      <c r="A146" t="s">
        <v>318</v>
      </c>
      <c r="B146" t="s">
        <v>267</v>
      </c>
      <c r="C146" t="s">
        <v>211</v>
      </c>
      <c r="D146" t="s">
        <v>71</v>
      </c>
      <c r="E146" t="s">
        <v>202</v>
      </c>
      <c r="F146" t="s">
        <v>72</v>
      </c>
      <c r="G146" t="s">
        <v>153</v>
      </c>
      <c r="H146" t="s">
        <v>60</v>
      </c>
    </row>
    <row r="147" spans="1:8" x14ac:dyDescent="0.35">
      <c r="A147" t="s">
        <v>320</v>
      </c>
      <c r="B147" t="s">
        <v>267</v>
      </c>
      <c r="C147" t="s">
        <v>223</v>
      </c>
      <c r="D147" t="s">
        <v>71</v>
      </c>
      <c r="E147" t="s">
        <v>292</v>
      </c>
      <c r="F147" t="s">
        <v>72</v>
      </c>
      <c r="G147" t="s">
        <v>158</v>
      </c>
      <c r="H147" t="s">
        <v>60</v>
      </c>
    </row>
    <row r="148" spans="1:8" x14ac:dyDescent="0.35">
      <c r="A148" t="s">
        <v>305</v>
      </c>
      <c r="B148" t="s">
        <v>267</v>
      </c>
      <c r="C148" t="s">
        <v>212</v>
      </c>
      <c r="D148" t="s">
        <v>71</v>
      </c>
      <c r="E148" t="s">
        <v>98</v>
      </c>
      <c r="F148" t="s">
        <v>72</v>
      </c>
      <c r="G148" t="s">
        <v>163</v>
      </c>
      <c r="H148" t="s">
        <v>60</v>
      </c>
    </row>
    <row r="149" spans="1:8" x14ac:dyDescent="0.35">
      <c r="A149" t="s">
        <v>314</v>
      </c>
      <c r="B149" t="s">
        <v>267</v>
      </c>
      <c r="C149" t="s">
        <v>224</v>
      </c>
      <c r="D149" t="s">
        <v>71</v>
      </c>
      <c r="E149" t="s">
        <v>361</v>
      </c>
      <c r="F149" t="s">
        <v>72</v>
      </c>
      <c r="G149" t="s">
        <v>133</v>
      </c>
      <c r="H149" t="s">
        <v>60</v>
      </c>
    </row>
    <row r="150" spans="1:8" x14ac:dyDescent="0.35">
      <c r="A150" t="s">
        <v>329</v>
      </c>
      <c r="B150" t="s">
        <v>267</v>
      </c>
      <c r="C150" t="s">
        <v>225</v>
      </c>
      <c r="D150" t="s">
        <v>71</v>
      </c>
      <c r="E150" t="s">
        <v>356</v>
      </c>
      <c r="F150" t="s">
        <v>66</v>
      </c>
      <c r="G150" t="s">
        <v>175</v>
      </c>
      <c r="H150" t="s">
        <v>60</v>
      </c>
    </row>
    <row r="151" spans="1:8" x14ac:dyDescent="0.35">
      <c r="A151" t="s">
        <v>303</v>
      </c>
      <c r="B151" t="s">
        <v>267</v>
      </c>
      <c r="C151" t="s">
        <v>220</v>
      </c>
      <c r="D151" t="s">
        <v>71</v>
      </c>
      <c r="E151" t="s">
        <v>206</v>
      </c>
      <c r="F151" t="s">
        <v>66</v>
      </c>
      <c r="G151" t="s">
        <v>124</v>
      </c>
      <c r="H151" t="s">
        <v>60</v>
      </c>
    </row>
    <row r="152" spans="1:8" x14ac:dyDescent="0.35">
      <c r="A152" t="s">
        <v>324</v>
      </c>
      <c r="B152" t="s">
        <v>267</v>
      </c>
      <c r="C152" t="s">
        <v>213</v>
      </c>
      <c r="D152" t="s">
        <v>71</v>
      </c>
      <c r="E152" t="s">
        <v>197</v>
      </c>
      <c r="F152" t="s">
        <v>66</v>
      </c>
      <c r="G152" t="s">
        <v>156</v>
      </c>
      <c r="H152" t="s">
        <v>333</v>
      </c>
    </row>
    <row r="153" spans="1:8" x14ac:dyDescent="0.35">
      <c r="A153" t="s">
        <v>325</v>
      </c>
      <c r="B153" t="s">
        <v>267</v>
      </c>
      <c r="C153" t="s">
        <v>214</v>
      </c>
      <c r="D153" t="s">
        <v>71</v>
      </c>
      <c r="E153" t="s">
        <v>354</v>
      </c>
      <c r="F153" t="s">
        <v>66</v>
      </c>
      <c r="G153" t="s">
        <v>159</v>
      </c>
      <c r="H153" t="s">
        <v>333</v>
      </c>
    </row>
    <row r="154" spans="1:8" x14ac:dyDescent="0.35">
      <c r="A154" t="s">
        <v>328</v>
      </c>
      <c r="B154" t="s">
        <v>267</v>
      </c>
      <c r="C154" t="s">
        <v>208</v>
      </c>
      <c r="D154" t="s">
        <v>71</v>
      </c>
      <c r="E154" t="s">
        <v>203</v>
      </c>
      <c r="F154" t="s">
        <v>66</v>
      </c>
      <c r="G154" t="s">
        <v>143</v>
      </c>
      <c r="H154" t="s">
        <v>333</v>
      </c>
    </row>
    <row r="155" spans="1:8" x14ac:dyDescent="0.35">
      <c r="A155" t="s">
        <v>336</v>
      </c>
      <c r="B155" t="s">
        <v>267</v>
      </c>
      <c r="C155" t="s">
        <v>197</v>
      </c>
      <c r="D155" t="s">
        <v>71</v>
      </c>
      <c r="E155" t="s">
        <v>274</v>
      </c>
      <c r="F155" t="s">
        <v>66</v>
      </c>
      <c r="G155" t="s">
        <v>132</v>
      </c>
      <c r="H155" t="s">
        <v>71</v>
      </c>
    </row>
    <row r="156" spans="1:8" x14ac:dyDescent="0.35">
      <c r="A156" t="s">
        <v>301</v>
      </c>
      <c r="B156" t="s">
        <v>267</v>
      </c>
      <c r="C156" t="s">
        <v>216</v>
      </c>
      <c r="D156" t="s">
        <v>71</v>
      </c>
      <c r="E156" t="s">
        <v>366</v>
      </c>
      <c r="F156" t="s">
        <v>66</v>
      </c>
      <c r="G156" t="s">
        <v>131</v>
      </c>
      <c r="H156" t="s">
        <v>71</v>
      </c>
    </row>
    <row r="157" spans="1:8" x14ac:dyDescent="0.35">
      <c r="A157" t="s">
        <v>309</v>
      </c>
      <c r="B157" t="s">
        <v>267</v>
      </c>
      <c r="C157" t="s">
        <v>232</v>
      </c>
      <c r="D157" t="s">
        <v>71</v>
      </c>
      <c r="E157" t="s">
        <v>202</v>
      </c>
      <c r="F157" t="s">
        <v>66</v>
      </c>
      <c r="G157" t="s">
        <v>155</v>
      </c>
      <c r="H157" t="s">
        <v>71</v>
      </c>
    </row>
    <row r="158" spans="1:8" x14ac:dyDescent="0.35">
      <c r="A158" t="s">
        <v>310</v>
      </c>
      <c r="B158" t="s">
        <v>272</v>
      </c>
      <c r="C158" t="s">
        <v>226</v>
      </c>
      <c r="D158" t="s">
        <v>71</v>
      </c>
      <c r="E158" t="s">
        <v>376</v>
      </c>
      <c r="F158" t="s">
        <v>66</v>
      </c>
      <c r="G158" t="s">
        <v>161</v>
      </c>
      <c r="H158" t="s">
        <v>71</v>
      </c>
    </row>
    <row r="159" spans="1:8" x14ac:dyDescent="0.35">
      <c r="A159" t="s">
        <v>109</v>
      </c>
      <c r="B159" t="s">
        <v>272</v>
      </c>
      <c r="C159" t="s">
        <v>218</v>
      </c>
      <c r="D159" t="s">
        <v>71</v>
      </c>
      <c r="E159" t="s">
        <v>207</v>
      </c>
      <c r="F159" t="s">
        <v>66</v>
      </c>
      <c r="G159" t="s">
        <v>178</v>
      </c>
      <c r="H159" t="s">
        <v>71</v>
      </c>
    </row>
    <row r="160" spans="1:8" x14ac:dyDescent="0.35">
      <c r="A160" t="s">
        <v>299</v>
      </c>
      <c r="B160" t="s">
        <v>272</v>
      </c>
      <c r="C160" t="s">
        <v>227</v>
      </c>
      <c r="D160" t="s">
        <v>71</v>
      </c>
      <c r="E160" t="s">
        <v>201</v>
      </c>
      <c r="F160" t="s">
        <v>66</v>
      </c>
      <c r="G160" t="s">
        <v>173</v>
      </c>
      <c r="H160" t="s">
        <v>71</v>
      </c>
    </row>
    <row r="161" spans="1:8" x14ac:dyDescent="0.35">
      <c r="A161" t="s">
        <v>294</v>
      </c>
      <c r="B161" t="s">
        <v>272</v>
      </c>
      <c r="C161" t="s">
        <v>262</v>
      </c>
      <c r="D161" t="s">
        <v>71</v>
      </c>
      <c r="G161" t="s">
        <v>379</v>
      </c>
      <c r="H161" t="s">
        <v>71</v>
      </c>
    </row>
    <row r="162" spans="1:8" x14ac:dyDescent="0.35">
      <c r="A162" t="s">
        <v>293</v>
      </c>
      <c r="B162" t="s">
        <v>272</v>
      </c>
      <c r="C162" t="s">
        <v>229</v>
      </c>
      <c r="D162" t="s">
        <v>71</v>
      </c>
      <c r="G162" t="s">
        <v>159</v>
      </c>
      <c r="H162" t="s">
        <v>71</v>
      </c>
    </row>
    <row r="163" spans="1:8" x14ac:dyDescent="0.35">
      <c r="A163" t="s">
        <v>307</v>
      </c>
      <c r="B163" t="s">
        <v>272</v>
      </c>
      <c r="C163" t="s">
        <v>230</v>
      </c>
      <c r="D163" t="s">
        <v>71</v>
      </c>
      <c r="G163" t="s">
        <v>151</v>
      </c>
      <c r="H163" t="s">
        <v>71</v>
      </c>
    </row>
    <row r="164" spans="1:8" x14ac:dyDescent="0.35">
      <c r="A164" t="s">
        <v>314</v>
      </c>
      <c r="B164" t="s">
        <v>272</v>
      </c>
      <c r="C164" t="s">
        <v>231</v>
      </c>
      <c r="D164" t="s">
        <v>71</v>
      </c>
      <c r="G164" t="s">
        <v>377</v>
      </c>
      <c r="H164" t="s">
        <v>71</v>
      </c>
    </row>
    <row r="165" spans="1:8" x14ac:dyDescent="0.35">
      <c r="A165" t="s">
        <v>337</v>
      </c>
      <c r="B165" t="s">
        <v>272</v>
      </c>
      <c r="C165" t="s">
        <v>215</v>
      </c>
      <c r="D165" t="s">
        <v>71</v>
      </c>
      <c r="G165" t="s">
        <v>387</v>
      </c>
      <c r="H165" t="s">
        <v>71</v>
      </c>
    </row>
    <row r="166" spans="1:8" x14ac:dyDescent="0.35">
      <c r="A166" t="s">
        <v>295</v>
      </c>
      <c r="B166" t="s">
        <v>272</v>
      </c>
      <c r="C166" t="s">
        <v>247</v>
      </c>
      <c r="D166" t="s">
        <v>71</v>
      </c>
      <c r="G166" t="s">
        <v>378</v>
      </c>
      <c r="H166" t="s">
        <v>71</v>
      </c>
    </row>
    <row r="167" spans="1:8" x14ac:dyDescent="0.35">
      <c r="A167" t="s">
        <v>319</v>
      </c>
      <c r="B167" t="s">
        <v>272</v>
      </c>
      <c r="C167" t="s">
        <v>219</v>
      </c>
      <c r="D167" t="s">
        <v>71</v>
      </c>
      <c r="G167" t="s">
        <v>143</v>
      </c>
      <c r="H167" t="s">
        <v>71</v>
      </c>
    </row>
    <row r="168" spans="1:8" x14ac:dyDescent="0.35">
      <c r="A168" t="s">
        <v>298</v>
      </c>
      <c r="B168" t="s">
        <v>272</v>
      </c>
      <c r="C168" t="s">
        <v>251</v>
      </c>
      <c r="D168" t="s">
        <v>71</v>
      </c>
      <c r="G168" t="s">
        <v>149</v>
      </c>
      <c r="H168" t="s">
        <v>71</v>
      </c>
    </row>
    <row r="169" spans="1:8" x14ac:dyDescent="0.35">
      <c r="A169" t="s">
        <v>338</v>
      </c>
      <c r="B169" t="s">
        <v>272</v>
      </c>
      <c r="C169" t="s">
        <v>237</v>
      </c>
      <c r="D169" t="s">
        <v>71</v>
      </c>
      <c r="G169" t="s">
        <v>152</v>
      </c>
      <c r="H169" t="s">
        <v>71</v>
      </c>
    </row>
    <row r="170" spans="1:8" x14ac:dyDescent="0.35">
      <c r="A170" t="s">
        <v>296</v>
      </c>
      <c r="B170" t="s">
        <v>272</v>
      </c>
      <c r="C170" t="s">
        <v>217</v>
      </c>
      <c r="D170" t="s">
        <v>71</v>
      </c>
      <c r="G170" t="s">
        <v>380</v>
      </c>
      <c r="H170" t="s">
        <v>71</v>
      </c>
    </row>
    <row r="171" spans="1:8" x14ac:dyDescent="0.35">
      <c r="A171" t="s">
        <v>318</v>
      </c>
      <c r="B171" t="s">
        <v>272</v>
      </c>
      <c r="C171" t="s">
        <v>202</v>
      </c>
      <c r="D171" t="s">
        <v>71</v>
      </c>
      <c r="G171" t="s">
        <v>157</v>
      </c>
      <c r="H171" t="s">
        <v>71</v>
      </c>
    </row>
    <row r="172" spans="1:8" x14ac:dyDescent="0.35">
      <c r="A172" t="s">
        <v>302</v>
      </c>
      <c r="B172" t="s">
        <v>272</v>
      </c>
      <c r="C172" t="s">
        <v>222</v>
      </c>
      <c r="D172" t="s">
        <v>71</v>
      </c>
      <c r="G172" t="s">
        <v>381</v>
      </c>
      <c r="H172" t="s">
        <v>71</v>
      </c>
    </row>
    <row r="173" spans="1:8" x14ac:dyDescent="0.35">
      <c r="A173" t="s">
        <v>316</v>
      </c>
      <c r="B173" t="s">
        <v>272</v>
      </c>
      <c r="C173" t="s">
        <v>228</v>
      </c>
      <c r="D173" t="s">
        <v>73</v>
      </c>
      <c r="G173" t="s">
        <v>382</v>
      </c>
      <c r="H173" t="s">
        <v>71</v>
      </c>
    </row>
    <row r="174" spans="1:8" x14ac:dyDescent="0.35">
      <c r="A174" t="s">
        <v>105</v>
      </c>
      <c r="B174" t="s">
        <v>272</v>
      </c>
      <c r="C174" t="s">
        <v>263</v>
      </c>
      <c r="D174" t="s">
        <v>73</v>
      </c>
      <c r="G174" t="s">
        <v>169</v>
      </c>
      <c r="H174" t="s">
        <v>71</v>
      </c>
    </row>
    <row r="175" spans="1:8" x14ac:dyDescent="0.35">
      <c r="A175" t="s">
        <v>320</v>
      </c>
      <c r="B175" t="s">
        <v>272</v>
      </c>
      <c r="C175" t="s">
        <v>264</v>
      </c>
      <c r="D175" t="s">
        <v>73</v>
      </c>
      <c r="G175" t="s">
        <v>172</v>
      </c>
      <c r="H175" t="s">
        <v>71</v>
      </c>
    </row>
    <row r="176" spans="1:8" x14ac:dyDescent="0.35">
      <c r="A176" t="s">
        <v>303</v>
      </c>
      <c r="B176" t="s">
        <v>272</v>
      </c>
      <c r="C176" t="s">
        <v>265</v>
      </c>
      <c r="D176" t="s">
        <v>73</v>
      </c>
      <c r="G176" t="s">
        <v>170</v>
      </c>
      <c r="H176" t="s">
        <v>71</v>
      </c>
    </row>
    <row r="177" spans="1:8" x14ac:dyDescent="0.35">
      <c r="A177" t="s">
        <v>304</v>
      </c>
      <c r="B177" t="s">
        <v>272</v>
      </c>
      <c r="C177" t="s">
        <v>212</v>
      </c>
      <c r="D177" t="s">
        <v>73</v>
      </c>
      <c r="G177" t="s">
        <v>129</v>
      </c>
      <c r="H177" t="s">
        <v>71</v>
      </c>
    </row>
    <row r="178" spans="1:8" x14ac:dyDescent="0.35">
      <c r="A178" t="s">
        <v>339</v>
      </c>
      <c r="B178" t="s">
        <v>272</v>
      </c>
      <c r="C178" t="s">
        <v>220</v>
      </c>
      <c r="D178" t="s">
        <v>73</v>
      </c>
      <c r="G178" t="s">
        <v>135</v>
      </c>
      <c r="H178" t="s">
        <v>71</v>
      </c>
    </row>
    <row r="179" spans="1:8" x14ac:dyDescent="0.35">
      <c r="A179" t="s">
        <v>329</v>
      </c>
      <c r="B179" t="s">
        <v>272</v>
      </c>
      <c r="C179" t="s">
        <v>213</v>
      </c>
      <c r="D179" t="s">
        <v>73</v>
      </c>
      <c r="G179" t="s">
        <v>153</v>
      </c>
      <c r="H179" t="s">
        <v>71</v>
      </c>
    </row>
    <row r="180" spans="1:8" x14ac:dyDescent="0.35">
      <c r="A180" t="s">
        <v>340</v>
      </c>
      <c r="B180" t="s">
        <v>272</v>
      </c>
      <c r="C180" t="s">
        <v>214</v>
      </c>
      <c r="D180" t="s">
        <v>73</v>
      </c>
      <c r="G180" t="s">
        <v>388</v>
      </c>
      <c r="H180" t="s">
        <v>71</v>
      </c>
    </row>
    <row r="181" spans="1:8" x14ac:dyDescent="0.35">
      <c r="A181" t="s">
        <v>322</v>
      </c>
      <c r="B181" t="s">
        <v>272</v>
      </c>
      <c r="C181" t="s">
        <v>197</v>
      </c>
      <c r="D181" t="s">
        <v>73</v>
      </c>
      <c r="G181" t="s">
        <v>163</v>
      </c>
      <c r="H181" t="s">
        <v>71</v>
      </c>
    </row>
    <row r="182" spans="1:8" x14ac:dyDescent="0.35">
      <c r="A182" t="s">
        <v>330</v>
      </c>
      <c r="B182" t="s">
        <v>272</v>
      </c>
      <c r="C182" t="s">
        <v>216</v>
      </c>
      <c r="D182" t="s">
        <v>73</v>
      </c>
      <c r="G182" t="s">
        <v>156</v>
      </c>
      <c r="H182" t="s">
        <v>71</v>
      </c>
    </row>
    <row r="183" spans="1:8" x14ac:dyDescent="0.35">
      <c r="A183" t="s">
        <v>326</v>
      </c>
      <c r="B183" t="s">
        <v>272</v>
      </c>
      <c r="C183" t="s">
        <v>247</v>
      </c>
      <c r="D183" t="s">
        <v>73</v>
      </c>
      <c r="G183" t="s">
        <v>389</v>
      </c>
      <c r="H183" t="s">
        <v>71</v>
      </c>
    </row>
    <row r="184" spans="1:8" x14ac:dyDescent="0.35">
      <c r="A184" t="s">
        <v>341</v>
      </c>
      <c r="B184" t="s">
        <v>272</v>
      </c>
      <c r="C184" t="s">
        <v>226</v>
      </c>
      <c r="D184" t="s">
        <v>73</v>
      </c>
      <c r="G184" t="s">
        <v>134</v>
      </c>
      <c r="H184" t="s">
        <v>71</v>
      </c>
    </row>
    <row r="185" spans="1:8" x14ac:dyDescent="0.35">
      <c r="A185" t="s">
        <v>138</v>
      </c>
      <c r="B185" t="s">
        <v>272</v>
      </c>
      <c r="C185" t="s">
        <v>231</v>
      </c>
      <c r="D185" t="s">
        <v>73</v>
      </c>
      <c r="G185" t="s">
        <v>162</v>
      </c>
      <c r="H185" t="s">
        <v>71</v>
      </c>
    </row>
    <row r="186" spans="1:8" x14ac:dyDescent="0.35">
      <c r="A186" t="s">
        <v>327</v>
      </c>
      <c r="B186" t="s">
        <v>272</v>
      </c>
      <c r="C186" t="s">
        <v>219</v>
      </c>
      <c r="D186" t="s">
        <v>73</v>
      </c>
      <c r="G186" t="s">
        <v>131</v>
      </c>
      <c r="H186" t="s">
        <v>73</v>
      </c>
    </row>
    <row r="187" spans="1:8" x14ac:dyDescent="0.35">
      <c r="A187" t="s">
        <v>342</v>
      </c>
      <c r="B187" t="s">
        <v>272</v>
      </c>
      <c r="C187" t="s">
        <v>266</v>
      </c>
      <c r="D187" t="s">
        <v>73</v>
      </c>
      <c r="G187" t="s">
        <v>155</v>
      </c>
      <c r="H187" t="s">
        <v>73</v>
      </c>
    </row>
    <row r="188" spans="1:8" x14ac:dyDescent="0.35">
      <c r="A188" t="s">
        <v>343</v>
      </c>
      <c r="B188" t="s">
        <v>272</v>
      </c>
      <c r="C188" t="s">
        <v>218</v>
      </c>
      <c r="D188" t="s">
        <v>73</v>
      </c>
      <c r="G188" t="s">
        <v>161</v>
      </c>
      <c r="H188" t="s">
        <v>73</v>
      </c>
    </row>
    <row r="189" spans="1:8" x14ac:dyDescent="0.35">
      <c r="A189" t="s">
        <v>309</v>
      </c>
      <c r="B189" t="s">
        <v>272</v>
      </c>
      <c r="C189" t="s">
        <v>232</v>
      </c>
      <c r="D189" t="s">
        <v>73</v>
      </c>
      <c r="G189" t="s">
        <v>157</v>
      </c>
      <c r="H189" t="s">
        <v>73</v>
      </c>
    </row>
    <row r="190" spans="1:8" x14ac:dyDescent="0.35">
      <c r="A190" t="s">
        <v>344</v>
      </c>
      <c r="B190" t="s">
        <v>272</v>
      </c>
      <c r="C190" t="s">
        <v>249</v>
      </c>
      <c r="D190" t="s">
        <v>73</v>
      </c>
      <c r="G190" t="s">
        <v>380</v>
      </c>
      <c r="H190" t="s">
        <v>73</v>
      </c>
    </row>
    <row r="191" spans="1:8" x14ac:dyDescent="0.35">
      <c r="A191" t="s">
        <v>345</v>
      </c>
      <c r="B191" t="s">
        <v>272</v>
      </c>
      <c r="C191" t="s">
        <v>251</v>
      </c>
      <c r="D191" t="s">
        <v>73</v>
      </c>
      <c r="G191" t="s">
        <v>159</v>
      </c>
      <c r="H191" t="s">
        <v>73</v>
      </c>
    </row>
    <row r="192" spans="1:8" x14ac:dyDescent="0.35">
      <c r="A192" t="s">
        <v>346</v>
      </c>
      <c r="B192" t="s">
        <v>272</v>
      </c>
      <c r="C192" t="s">
        <v>217</v>
      </c>
      <c r="D192" t="s">
        <v>73</v>
      </c>
      <c r="G192" t="s">
        <v>352</v>
      </c>
      <c r="H192" t="s">
        <v>73</v>
      </c>
    </row>
    <row r="193" spans="1:8" x14ac:dyDescent="0.35">
      <c r="A193" t="s">
        <v>347</v>
      </c>
      <c r="B193" t="s">
        <v>272</v>
      </c>
      <c r="C193" t="s">
        <v>208</v>
      </c>
      <c r="D193" t="s">
        <v>73</v>
      </c>
      <c r="G193" t="s">
        <v>151</v>
      </c>
      <c r="H193" t="s">
        <v>73</v>
      </c>
    </row>
    <row r="194" spans="1:8" x14ac:dyDescent="0.35">
      <c r="A194" t="s">
        <v>348</v>
      </c>
      <c r="B194" t="s">
        <v>272</v>
      </c>
      <c r="C194" t="s">
        <v>202</v>
      </c>
      <c r="D194" t="s">
        <v>73</v>
      </c>
      <c r="G194" t="s">
        <v>135</v>
      </c>
      <c r="H194" t="s">
        <v>73</v>
      </c>
    </row>
    <row r="195" spans="1:8" x14ac:dyDescent="0.35">
      <c r="A195" t="s">
        <v>349</v>
      </c>
      <c r="B195" t="s">
        <v>272</v>
      </c>
      <c r="C195" t="s">
        <v>260</v>
      </c>
      <c r="D195" t="s">
        <v>73</v>
      </c>
      <c r="G195" t="s">
        <v>377</v>
      </c>
      <c r="H195" t="s">
        <v>73</v>
      </c>
    </row>
    <row r="196" spans="1:8" x14ac:dyDescent="0.35">
      <c r="A196" t="s">
        <v>109</v>
      </c>
      <c r="B196" t="s">
        <v>288</v>
      </c>
      <c r="C196" t="s">
        <v>238</v>
      </c>
      <c r="D196" t="s">
        <v>267</v>
      </c>
      <c r="G196" t="s">
        <v>378</v>
      </c>
      <c r="H196" t="s">
        <v>73</v>
      </c>
    </row>
    <row r="197" spans="1:8" x14ac:dyDescent="0.35">
      <c r="A197" t="s">
        <v>294</v>
      </c>
      <c r="B197" t="s">
        <v>288</v>
      </c>
      <c r="C197" t="s">
        <v>258</v>
      </c>
      <c r="D197" t="s">
        <v>267</v>
      </c>
      <c r="G197" t="s">
        <v>143</v>
      </c>
      <c r="H197" t="s">
        <v>73</v>
      </c>
    </row>
    <row r="198" spans="1:8" x14ac:dyDescent="0.35">
      <c r="A198" t="s">
        <v>311</v>
      </c>
      <c r="B198" t="s">
        <v>288</v>
      </c>
      <c r="C198" t="s">
        <v>215</v>
      </c>
      <c r="D198" t="s">
        <v>267</v>
      </c>
      <c r="G198" t="s">
        <v>149</v>
      </c>
      <c r="H198" t="s">
        <v>73</v>
      </c>
    </row>
    <row r="199" spans="1:8" x14ac:dyDescent="0.35">
      <c r="A199" t="s">
        <v>303</v>
      </c>
      <c r="B199" t="s">
        <v>288</v>
      </c>
      <c r="C199" t="s">
        <v>226</v>
      </c>
      <c r="D199" t="s">
        <v>267</v>
      </c>
      <c r="G199" t="s">
        <v>152</v>
      </c>
      <c r="H199" t="s">
        <v>73</v>
      </c>
    </row>
    <row r="200" spans="1:8" x14ac:dyDescent="0.35">
      <c r="A200" t="s">
        <v>295</v>
      </c>
      <c r="B200" t="s">
        <v>288</v>
      </c>
      <c r="C200" t="s">
        <v>219</v>
      </c>
      <c r="D200" t="s">
        <v>268</v>
      </c>
      <c r="G200" t="s">
        <v>133</v>
      </c>
      <c r="H200" t="s">
        <v>73</v>
      </c>
    </row>
    <row r="201" spans="1:8" x14ac:dyDescent="0.35">
      <c r="A201" t="s">
        <v>299</v>
      </c>
      <c r="B201" t="s">
        <v>288</v>
      </c>
      <c r="C201" t="s">
        <v>212</v>
      </c>
      <c r="D201" t="s">
        <v>268</v>
      </c>
      <c r="G201" t="s">
        <v>129</v>
      </c>
      <c r="H201" t="s">
        <v>73</v>
      </c>
    </row>
    <row r="202" spans="1:8" x14ac:dyDescent="0.35">
      <c r="A202" t="s">
        <v>304</v>
      </c>
      <c r="B202" t="s">
        <v>288</v>
      </c>
      <c r="C202" t="s">
        <v>224</v>
      </c>
      <c r="D202" t="s">
        <v>268</v>
      </c>
      <c r="G202" t="s">
        <v>382</v>
      </c>
      <c r="H202" t="s">
        <v>73</v>
      </c>
    </row>
    <row r="203" spans="1:8" x14ac:dyDescent="0.35">
      <c r="A203" t="s">
        <v>305</v>
      </c>
      <c r="B203" t="s">
        <v>288</v>
      </c>
      <c r="C203" t="s">
        <v>220</v>
      </c>
      <c r="D203" t="s">
        <v>268</v>
      </c>
      <c r="G203" t="s">
        <v>169</v>
      </c>
      <c r="H203" t="s">
        <v>73</v>
      </c>
    </row>
    <row r="204" spans="1:8" x14ac:dyDescent="0.35">
      <c r="A204" t="s">
        <v>323</v>
      </c>
      <c r="B204" t="s">
        <v>288</v>
      </c>
      <c r="C204" t="s">
        <v>213</v>
      </c>
      <c r="D204" t="s">
        <v>268</v>
      </c>
      <c r="G204" t="s">
        <v>370</v>
      </c>
      <c r="H204" t="s">
        <v>73</v>
      </c>
    </row>
    <row r="205" spans="1:8" x14ac:dyDescent="0.35">
      <c r="A205" t="s">
        <v>308</v>
      </c>
      <c r="B205" t="s">
        <v>288</v>
      </c>
      <c r="C205" t="s">
        <v>208</v>
      </c>
      <c r="D205" t="s">
        <v>268</v>
      </c>
      <c r="G205" t="s">
        <v>134</v>
      </c>
      <c r="H205" t="s">
        <v>73</v>
      </c>
    </row>
    <row r="206" spans="1:8" x14ac:dyDescent="0.35">
      <c r="A206" t="s">
        <v>309</v>
      </c>
      <c r="B206" t="s">
        <v>288</v>
      </c>
      <c r="C206" t="s">
        <v>197</v>
      </c>
      <c r="D206" t="s">
        <v>268</v>
      </c>
      <c r="G206" t="s">
        <v>381</v>
      </c>
      <c r="H206" t="s">
        <v>73</v>
      </c>
    </row>
    <row r="207" spans="1:8" x14ac:dyDescent="0.35">
      <c r="A207" t="s">
        <v>297</v>
      </c>
      <c r="B207" t="s">
        <v>290</v>
      </c>
      <c r="C207" t="s">
        <v>216</v>
      </c>
      <c r="D207" t="s">
        <v>268</v>
      </c>
      <c r="G207" t="s">
        <v>379</v>
      </c>
      <c r="H207" t="s">
        <v>73</v>
      </c>
    </row>
    <row r="208" spans="1:8" x14ac:dyDescent="0.35">
      <c r="A208" t="s">
        <v>311</v>
      </c>
      <c r="B208" t="s">
        <v>290</v>
      </c>
      <c r="C208" t="s">
        <v>234</v>
      </c>
      <c r="D208" t="s">
        <v>268</v>
      </c>
      <c r="G208" t="s">
        <v>172</v>
      </c>
      <c r="H208" t="s">
        <v>73</v>
      </c>
    </row>
    <row r="209" spans="1:8" x14ac:dyDescent="0.35">
      <c r="A209" t="s">
        <v>105</v>
      </c>
      <c r="B209" t="s">
        <v>290</v>
      </c>
      <c r="C209" t="s">
        <v>232</v>
      </c>
      <c r="D209" t="s">
        <v>268</v>
      </c>
      <c r="G209" t="s">
        <v>388</v>
      </c>
      <c r="H209" t="s">
        <v>73</v>
      </c>
    </row>
    <row r="210" spans="1:8" x14ac:dyDescent="0.35">
      <c r="A210" t="s">
        <v>300</v>
      </c>
      <c r="B210" t="s">
        <v>290</v>
      </c>
      <c r="C210" t="s">
        <v>228</v>
      </c>
      <c r="D210" t="s">
        <v>268</v>
      </c>
      <c r="G210" t="s">
        <v>180</v>
      </c>
      <c r="H210" t="s">
        <v>73</v>
      </c>
    </row>
    <row r="211" spans="1:8" x14ac:dyDescent="0.35">
      <c r="A211" t="s">
        <v>302</v>
      </c>
      <c r="B211" t="s">
        <v>290</v>
      </c>
      <c r="C211" t="s">
        <v>269</v>
      </c>
      <c r="D211" t="s">
        <v>268</v>
      </c>
      <c r="G211" t="s">
        <v>132</v>
      </c>
      <c r="H211" t="s">
        <v>267</v>
      </c>
    </row>
    <row r="212" spans="1:8" x14ac:dyDescent="0.35">
      <c r="A212" t="s">
        <v>310</v>
      </c>
      <c r="B212" t="s">
        <v>290</v>
      </c>
      <c r="C212" t="s">
        <v>235</v>
      </c>
      <c r="D212" t="s">
        <v>268</v>
      </c>
      <c r="G212" t="s">
        <v>131</v>
      </c>
      <c r="H212" t="s">
        <v>267</v>
      </c>
    </row>
    <row r="213" spans="1:8" x14ac:dyDescent="0.35">
      <c r="A213" t="s">
        <v>109</v>
      </c>
      <c r="B213" t="s">
        <v>72</v>
      </c>
      <c r="C213" t="s">
        <v>214</v>
      </c>
      <c r="D213" t="s">
        <v>268</v>
      </c>
      <c r="G213" t="s">
        <v>156</v>
      </c>
      <c r="H213" t="s">
        <v>267</v>
      </c>
    </row>
    <row r="214" spans="1:8" x14ac:dyDescent="0.35">
      <c r="A214" t="s">
        <v>299</v>
      </c>
      <c r="B214" t="s">
        <v>72</v>
      </c>
      <c r="C214" t="s">
        <v>218</v>
      </c>
      <c r="D214" t="s">
        <v>268</v>
      </c>
      <c r="G214" t="s">
        <v>155</v>
      </c>
      <c r="H214" t="s">
        <v>267</v>
      </c>
    </row>
    <row r="215" spans="1:8" x14ac:dyDescent="0.35">
      <c r="A215" t="s">
        <v>294</v>
      </c>
      <c r="B215" t="s">
        <v>72</v>
      </c>
      <c r="C215" t="s">
        <v>270</v>
      </c>
      <c r="D215" t="s">
        <v>268</v>
      </c>
      <c r="G215" t="s">
        <v>178</v>
      </c>
      <c r="H215" t="s">
        <v>267</v>
      </c>
    </row>
    <row r="216" spans="1:8" x14ac:dyDescent="0.35">
      <c r="A216" t="s">
        <v>293</v>
      </c>
      <c r="B216" t="s">
        <v>72</v>
      </c>
      <c r="C216" t="s">
        <v>217</v>
      </c>
      <c r="D216" t="s">
        <v>268</v>
      </c>
      <c r="G216" t="s">
        <v>173</v>
      </c>
      <c r="H216" t="s">
        <v>267</v>
      </c>
    </row>
    <row r="217" spans="1:8" x14ac:dyDescent="0.35">
      <c r="A217" t="s">
        <v>297</v>
      </c>
      <c r="B217" t="s">
        <v>72</v>
      </c>
      <c r="C217" t="s">
        <v>260</v>
      </c>
      <c r="D217" t="s">
        <v>268</v>
      </c>
      <c r="G217" t="s">
        <v>159</v>
      </c>
      <c r="H217" t="s">
        <v>267</v>
      </c>
    </row>
    <row r="218" spans="1:8" x14ac:dyDescent="0.35">
      <c r="A218" t="s">
        <v>300</v>
      </c>
      <c r="B218" t="s">
        <v>72</v>
      </c>
      <c r="C218" t="s">
        <v>271</v>
      </c>
      <c r="D218" t="s">
        <v>272</v>
      </c>
      <c r="G218" t="s">
        <v>352</v>
      </c>
      <c r="H218" t="s">
        <v>267</v>
      </c>
    </row>
    <row r="219" spans="1:8" x14ac:dyDescent="0.35">
      <c r="A219" t="s">
        <v>310</v>
      </c>
      <c r="B219" t="s">
        <v>72</v>
      </c>
      <c r="C219" t="s">
        <v>238</v>
      </c>
      <c r="D219" t="s">
        <v>272</v>
      </c>
      <c r="G219" t="s">
        <v>176</v>
      </c>
      <c r="H219" t="s">
        <v>267</v>
      </c>
    </row>
    <row r="220" spans="1:8" x14ac:dyDescent="0.35">
      <c r="A220" t="s">
        <v>295</v>
      </c>
      <c r="B220" t="s">
        <v>72</v>
      </c>
      <c r="C220" t="s">
        <v>211</v>
      </c>
      <c r="D220" t="s">
        <v>272</v>
      </c>
      <c r="G220" t="s">
        <v>377</v>
      </c>
      <c r="H220" t="s">
        <v>267</v>
      </c>
    </row>
    <row r="221" spans="1:8" x14ac:dyDescent="0.35">
      <c r="A221" t="s">
        <v>315</v>
      </c>
      <c r="B221" t="s">
        <v>72</v>
      </c>
      <c r="C221" t="s">
        <v>239</v>
      </c>
      <c r="D221" t="s">
        <v>272</v>
      </c>
      <c r="G221" t="s">
        <v>378</v>
      </c>
      <c r="H221" t="s">
        <v>267</v>
      </c>
    </row>
    <row r="222" spans="1:8" x14ac:dyDescent="0.35">
      <c r="A222" t="s">
        <v>311</v>
      </c>
      <c r="B222" t="s">
        <v>72</v>
      </c>
      <c r="C222" t="s">
        <v>219</v>
      </c>
      <c r="D222" t="s">
        <v>272</v>
      </c>
      <c r="G222" t="s">
        <v>143</v>
      </c>
      <c r="H222" t="s">
        <v>267</v>
      </c>
    </row>
    <row r="223" spans="1:8" x14ac:dyDescent="0.35">
      <c r="A223" t="s">
        <v>312</v>
      </c>
      <c r="B223" t="s">
        <v>72</v>
      </c>
      <c r="C223" t="s">
        <v>273</v>
      </c>
      <c r="D223" t="s">
        <v>272</v>
      </c>
      <c r="G223" t="s">
        <v>152</v>
      </c>
      <c r="H223" t="s">
        <v>267</v>
      </c>
    </row>
    <row r="224" spans="1:8" x14ac:dyDescent="0.35">
      <c r="A224" t="s">
        <v>302</v>
      </c>
      <c r="B224" t="s">
        <v>72</v>
      </c>
      <c r="C224" t="s">
        <v>240</v>
      </c>
      <c r="D224" t="s">
        <v>272</v>
      </c>
      <c r="G224" t="s">
        <v>170</v>
      </c>
      <c r="H224" t="s">
        <v>267</v>
      </c>
    </row>
    <row r="225" spans="1:8" x14ac:dyDescent="0.35">
      <c r="A225" t="s">
        <v>105</v>
      </c>
      <c r="B225" t="s">
        <v>72</v>
      </c>
      <c r="C225" t="s">
        <v>265</v>
      </c>
      <c r="D225" t="s">
        <v>272</v>
      </c>
      <c r="G225" t="s">
        <v>153</v>
      </c>
      <c r="H225" t="s">
        <v>267</v>
      </c>
    </row>
    <row r="226" spans="1:8" x14ac:dyDescent="0.35">
      <c r="A226" t="s">
        <v>316</v>
      </c>
      <c r="B226" t="s">
        <v>72</v>
      </c>
      <c r="C226" t="s">
        <v>212</v>
      </c>
      <c r="D226" t="s">
        <v>272</v>
      </c>
      <c r="G226" t="s">
        <v>382</v>
      </c>
      <c r="H226" t="s">
        <v>267</v>
      </c>
    </row>
    <row r="227" spans="1:8" x14ac:dyDescent="0.35">
      <c r="A227" t="s">
        <v>296</v>
      </c>
      <c r="B227" t="s">
        <v>72</v>
      </c>
      <c r="C227" t="s">
        <v>224</v>
      </c>
      <c r="D227" t="s">
        <v>272</v>
      </c>
      <c r="G227" t="s">
        <v>167</v>
      </c>
      <c r="H227" t="s">
        <v>267</v>
      </c>
    </row>
    <row r="228" spans="1:8" x14ac:dyDescent="0.35">
      <c r="A228" t="s">
        <v>319</v>
      </c>
      <c r="B228" t="s">
        <v>72</v>
      </c>
      <c r="C228" t="s">
        <v>230</v>
      </c>
      <c r="D228" t="s">
        <v>272</v>
      </c>
      <c r="G228" t="s">
        <v>390</v>
      </c>
      <c r="H228" t="s">
        <v>267</v>
      </c>
    </row>
    <row r="229" spans="1:8" x14ac:dyDescent="0.35">
      <c r="A229" t="s">
        <v>298</v>
      </c>
      <c r="B229" t="s">
        <v>72</v>
      </c>
      <c r="C229" t="s">
        <v>274</v>
      </c>
      <c r="D229" t="s">
        <v>272</v>
      </c>
      <c r="G229" t="s">
        <v>391</v>
      </c>
      <c r="H229" t="s">
        <v>267</v>
      </c>
    </row>
    <row r="230" spans="1:8" x14ac:dyDescent="0.35">
      <c r="A230" t="s">
        <v>350</v>
      </c>
      <c r="B230" t="s">
        <v>72</v>
      </c>
      <c r="C230" t="s">
        <v>220</v>
      </c>
      <c r="D230" t="s">
        <v>272</v>
      </c>
      <c r="G230" t="s">
        <v>132</v>
      </c>
      <c r="H230" t="s">
        <v>272</v>
      </c>
    </row>
    <row r="231" spans="1:8" x14ac:dyDescent="0.35">
      <c r="A231" t="s">
        <v>321</v>
      </c>
      <c r="B231" t="s">
        <v>72</v>
      </c>
      <c r="C231" t="s">
        <v>248</v>
      </c>
      <c r="D231" t="s">
        <v>272</v>
      </c>
      <c r="G231" t="s">
        <v>131</v>
      </c>
      <c r="H231" t="s">
        <v>272</v>
      </c>
    </row>
    <row r="232" spans="1:8" x14ac:dyDescent="0.35">
      <c r="A232" t="s">
        <v>307</v>
      </c>
      <c r="B232" t="s">
        <v>72</v>
      </c>
      <c r="C232" t="s">
        <v>275</v>
      </c>
      <c r="D232" t="s">
        <v>272</v>
      </c>
      <c r="G232" t="s">
        <v>156</v>
      </c>
      <c r="H232" t="s">
        <v>272</v>
      </c>
    </row>
    <row r="233" spans="1:8" x14ac:dyDescent="0.35">
      <c r="A233" t="s">
        <v>322</v>
      </c>
      <c r="B233" t="s">
        <v>72</v>
      </c>
      <c r="C233" t="s">
        <v>213</v>
      </c>
      <c r="D233" t="s">
        <v>272</v>
      </c>
      <c r="G233" t="s">
        <v>155</v>
      </c>
      <c r="H233" t="s">
        <v>272</v>
      </c>
    </row>
    <row r="234" spans="1:8" x14ac:dyDescent="0.35">
      <c r="A234" t="s">
        <v>323</v>
      </c>
      <c r="B234" t="s">
        <v>72</v>
      </c>
      <c r="C234" t="s">
        <v>214</v>
      </c>
      <c r="D234" t="s">
        <v>272</v>
      </c>
      <c r="G234" t="s">
        <v>179</v>
      </c>
      <c r="H234" t="s">
        <v>272</v>
      </c>
    </row>
    <row r="235" spans="1:8" x14ac:dyDescent="0.35">
      <c r="A235" t="s">
        <v>325</v>
      </c>
      <c r="B235" t="s">
        <v>72</v>
      </c>
      <c r="C235" t="s">
        <v>276</v>
      </c>
      <c r="D235" t="s">
        <v>272</v>
      </c>
      <c r="G235" t="s">
        <v>178</v>
      </c>
      <c r="H235" t="s">
        <v>272</v>
      </c>
    </row>
    <row r="236" spans="1:8" x14ac:dyDescent="0.35">
      <c r="A236" t="s">
        <v>326</v>
      </c>
      <c r="B236" t="s">
        <v>72</v>
      </c>
      <c r="C236" t="s">
        <v>277</v>
      </c>
      <c r="D236" t="s">
        <v>272</v>
      </c>
      <c r="G236" t="s">
        <v>170</v>
      </c>
      <c r="H236" t="s">
        <v>272</v>
      </c>
    </row>
    <row r="237" spans="1:8" x14ac:dyDescent="0.35">
      <c r="A237" t="s">
        <v>327</v>
      </c>
      <c r="B237" t="s">
        <v>72</v>
      </c>
      <c r="C237" t="s">
        <v>244</v>
      </c>
      <c r="D237" t="s">
        <v>272</v>
      </c>
      <c r="G237" t="s">
        <v>119</v>
      </c>
      <c r="H237" t="s">
        <v>272</v>
      </c>
    </row>
    <row r="238" spans="1:8" x14ac:dyDescent="0.35">
      <c r="A238" t="s">
        <v>328</v>
      </c>
      <c r="B238" t="s">
        <v>72</v>
      </c>
      <c r="C238" t="s">
        <v>278</v>
      </c>
      <c r="D238" t="s">
        <v>272</v>
      </c>
      <c r="G238" t="s">
        <v>173</v>
      </c>
      <c r="H238" t="s">
        <v>272</v>
      </c>
    </row>
    <row r="239" spans="1:8" x14ac:dyDescent="0.35">
      <c r="A239" t="s">
        <v>331</v>
      </c>
      <c r="B239" t="s">
        <v>72</v>
      </c>
      <c r="C239" t="s">
        <v>208</v>
      </c>
      <c r="D239" t="s">
        <v>272</v>
      </c>
      <c r="G239" t="s">
        <v>157</v>
      </c>
      <c r="H239" t="s">
        <v>272</v>
      </c>
    </row>
    <row r="240" spans="1:8" x14ac:dyDescent="0.35">
      <c r="A240" t="s">
        <v>329</v>
      </c>
      <c r="B240" t="s">
        <v>72</v>
      </c>
      <c r="C240" t="s">
        <v>279</v>
      </c>
      <c r="D240" t="s">
        <v>272</v>
      </c>
      <c r="G240" t="s">
        <v>159</v>
      </c>
      <c r="H240" t="s">
        <v>272</v>
      </c>
    </row>
    <row r="241" spans="1:8" x14ac:dyDescent="0.35">
      <c r="A241" t="s">
        <v>330</v>
      </c>
      <c r="B241" t="s">
        <v>72</v>
      </c>
      <c r="C241" t="s">
        <v>197</v>
      </c>
      <c r="D241" t="s">
        <v>272</v>
      </c>
      <c r="G241" t="s">
        <v>158</v>
      </c>
      <c r="H241" t="s">
        <v>272</v>
      </c>
    </row>
    <row r="242" spans="1:8" x14ac:dyDescent="0.35">
      <c r="A242" t="s">
        <v>309</v>
      </c>
      <c r="B242" t="s">
        <v>72</v>
      </c>
      <c r="C242" t="s">
        <v>270</v>
      </c>
      <c r="D242" t="s">
        <v>272</v>
      </c>
      <c r="G242" t="s">
        <v>151</v>
      </c>
      <c r="H242" t="s">
        <v>272</v>
      </c>
    </row>
    <row r="243" spans="1:8" x14ac:dyDescent="0.35">
      <c r="A243" t="s">
        <v>109</v>
      </c>
      <c r="B243" t="s">
        <v>66</v>
      </c>
      <c r="C243" t="s">
        <v>202</v>
      </c>
      <c r="D243" t="s">
        <v>272</v>
      </c>
      <c r="G243" t="s">
        <v>176</v>
      </c>
      <c r="H243" t="s">
        <v>272</v>
      </c>
    </row>
    <row r="244" spans="1:8" x14ac:dyDescent="0.35">
      <c r="A244" t="s">
        <v>294</v>
      </c>
      <c r="B244" t="s">
        <v>66</v>
      </c>
      <c r="C244" t="s">
        <v>280</v>
      </c>
      <c r="D244" t="s">
        <v>272</v>
      </c>
      <c r="G244" t="s">
        <v>377</v>
      </c>
      <c r="H244" t="s">
        <v>272</v>
      </c>
    </row>
    <row r="245" spans="1:8" x14ac:dyDescent="0.35">
      <c r="A245" t="s">
        <v>293</v>
      </c>
      <c r="B245" t="s">
        <v>66</v>
      </c>
      <c r="C245" t="s">
        <v>281</v>
      </c>
      <c r="D245" t="s">
        <v>272</v>
      </c>
      <c r="G245" t="s">
        <v>378</v>
      </c>
      <c r="H245" t="s">
        <v>272</v>
      </c>
    </row>
    <row r="246" spans="1:8" x14ac:dyDescent="0.35">
      <c r="A246" t="s">
        <v>297</v>
      </c>
      <c r="B246" t="s">
        <v>66</v>
      </c>
      <c r="C246" t="s">
        <v>282</v>
      </c>
      <c r="D246" t="s">
        <v>272</v>
      </c>
      <c r="G246" t="s">
        <v>143</v>
      </c>
      <c r="H246" t="s">
        <v>272</v>
      </c>
    </row>
    <row r="247" spans="1:8" x14ac:dyDescent="0.35">
      <c r="A247" t="s">
        <v>300</v>
      </c>
      <c r="B247" t="s">
        <v>66</v>
      </c>
      <c r="C247" t="s">
        <v>283</v>
      </c>
      <c r="D247" t="s">
        <v>272</v>
      </c>
      <c r="G247" t="s">
        <v>171</v>
      </c>
      <c r="H247" t="s">
        <v>272</v>
      </c>
    </row>
    <row r="248" spans="1:8" x14ac:dyDescent="0.35">
      <c r="A248" t="s">
        <v>301</v>
      </c>
      <c r="B248" t="s">
        <v>66</v>
      </c>
      <c r="C248" t="s">
        <v>216</v>
      </c>
      <c r="D248" t="s">
        <v>272</v>
      </c>
      <c r="G248" t="s">
        <v>163</v>
      </c>
      <c r="H248" t="s">
        <v>272</v>
      </c>
    </row>
    <row r="249" spans="1:8" x14ac:dyDescent="0.35">
      <c r="A249" t="s">
        <v>311</v>
      </c>
      <c r="B249" t="s">
        <v>66</v>
      </c>
      <c r="C249" t="s">
        <v>284</v>
      </c>
      <c r="D249" t="s">
        <v>272</v>
      </c>
      <c r="G249" t="s">
        <v>152</v>
      </c>
      <c r="H249" t="s">
        <v>272</v>
      </c>
    </row>
    <row r="250" spans="1:8" x14ac:dyDescent="0.35">
      <c r="A250" t="s">
        <v>302</v>
      </c>
      <c r="B250" t="s">
        <v>66</v>
      </c>
      <c r="C250" t="s">
        <v>232</v>
      </c>
      <c r="D250" t="s">
        <v>272</v>
      </c>
      <c r="G250" t="s">
        <v>392</v>
      </c>
      <c r="H250" t="s">
        <v>272</v>
      </c>
    </row>
    <row r="251" spans="1:8" x14ac:dyDescent="0.35">
      <c r="A251" t="s">
        <v>310</v>
      </c>
      <c r="B251" t="s">
        <v>66</v>
      </c>
      <c r="C251" t="s">
        <v>231</v>
      </c>
      <c r="D251" t="s">
        <v>272</v>
      </c>
      <c r="G251" t="s">
        <v>113</v>
      </c>
      <c r="H251" t="s">
        <v>272</v>
      </c>
    </row>
    <row r="252" spans="1:8" x14ac:dyDescent="0.35">
      <c r="C252" t="s">
        <v>228</v>
      </c>
      <c r="D252" t="s">
        <v>272</v>
      </c>
      <c r="G252" t="s">
        <v>393</v>
      </c>
      <c r="H252" t="s">
        <v>272</v>
      </c>
    </row>
    <row r="253" spans="1:8" x14ac:dyDescent="0.35">
      <c r="C253" t="s">
        <v>285</v>
      </c>
      <c r="D253" t="s">
        <v>272</v>
      </c>
      <c r="G253" t="s">
        <v>153</v>
      </c>
      <c r="H253" t="s">
        <v>272</v>
      </c>
    </row>
    <row r="254" spans="1:8" x14ac:dyDescent="0.35">
      <c r="C254" t="s">
        <v>286</v>
      </c>
      <c r="D254" t="s">
        <v>272</v>
      </c>
      <c r="G254" t="s">
        <v>124</v>
      </c>
      <c r="H254" t="s">
        <v>272</v>
      </c>
    </row>
    <row r="255" spans="1:8" x14ac:dyDescent="0.35">
      <c r="C255" t="s">
        <v>269</v>
      </c>
      <c r="D255" t="s">
        <v>272</v>
      </c>
      <c r="G255" t="s">
        <v>386</v>
      </c>
      <c r="H255" t="s">
        <v>272</v>
      </c>
    </row>
    <row r="256" spans="1:8" x14ac:dyDescent="0.35">
      <c r="C256" t="s">
        <v>234</v>
      </c>
      <c r="D256" t="s">
        <v>272</v>
      </c>
      <c r="G256" t="s">
        <v>389</v>
      </c>
      <c r="H256" t="s">
        <v>272</v>
      </c>
    </row>
    <row r="257" spans="3:8" x14ac:dyDescent="0.35">
      <c r="C257" t="s">
        <v>250</v>
      </c>
      <c r="D257" t="s">
        <v>272</v>
      </c>
      <c r="G257" t="s">
        <v>390</v>
      </c>
      <c r="H257" t="s">
        <v>272</v>
      </c>
    </row>
    <row r="258" spans="3:8" x14ac:dyDescent="0.35">
      <c r="C258" t="s">
        <v>218</v>
      </c>
      <c r="D258" t="s">
        <v>272</v>
      </c>
      <c r="G258" t="s">
        <v>140</v>
      </c>
      <c r="H258" t="s">
        <v>272</v>
      </c>
    </row>
    <row r="259" spans="3:8" x14ac:dyDescent="0.35">
      <c r="C259" t="s">
        <v>287</v>
      </c>
      <c r="D259" t="s">
        <v>272</v>
      </c>
      <c r="G259" t="s">
        <v>321</v>
      </c>
      <c r="H259" t="s">
        <v>272</v>
      </c>
    </row>
    <row r="260" spans="3:8" x14ac:dyDescent="0.35">
      <c r="C260" t="s">
        <v>227</v>
      </c>
      <c r="D260" t="s">
        <v>272</v>
      </c>
      <c r="G260" t="s">
        <v>130</v>
      </c>
      <c r="H260" t="s">
        <v>272</v>
      </c>
    </row>
    <row r="261" spans="3:8" x14ac:dyDescent="0.35">
      <c r="C261" t="s">
        <v>223</v>
      </c>
      <c r="D261" t="s">
        <v>272</v>
      </c>
      <c r="G261" t="s">
        <v>382</v>
      </c>
      <c r="H261" t="s">
        <v>272</v>
      </c>
    </row>
    <row r="262" spans="3:8" x14ac:dyDescent="0.35">
      <c r="C262" t="s">
        <v>249</v>
      </c>
      <c r="D262" t="s">
        <v>272</v>
      </c>
      <c r="G262" t="s">
        <v>394</v>
      </c>
      <c r="H262" t="s">
        <v>272</v>
      </c>
    </row>
    <row r="263" spans="3:8" x14ac:dyDescent="0.35">
      <c r="C263" t="s">
        <v>217</v>
      </c>
      <c r="D263" t="s">
        <v>272</v>
      </c>
      <c r="G263" t="s">
        <v>180</v>
      </c>
      <c r="H263" t="s">
        <v>272</v>
      </c>
    </row>
    <row r="264" spans="3:8" x14ac:dyDescent="0.35">
      <c r="C264" t="s">
        <v>260</v>
      </c>
      <c r="D264" t="s">
        <v>272</v>
      </c>
      <c r="G264" t="s">
        <v>395</v>
      </c>
      <c r="H264" t="s">
        <v>272</v>
      </c>
    </row>
    <row r="265" spans="3:8" x14ac:dyDescent="0.35">
      <c r="C265" t="s">
        <v>212</v>
      </c>
      <c r="D265" t="s">
        <v>288</v>
      </c>
      <c r="G265" t="s">
        <v>136</v>
      </c>
      <c r="H265" t="s">
        <v>272</v>
      </c>
    </row>
    <row r="266" spans="3:8" x14ac:dyDescent="0.35">
      <c r="C266" t="s">
        <v>224</v>
      </c>
      <c r="D266" t="s">
        <v>288</v>
      </c>
      <c r="G266" t="s">
        <v>181</v>
      </c>
      <c r="H266" t="s">
        <v>272</v>
      </c>
    </row>
    <row r="267" spans="3:8" x14ac:dyDescent="0.35">
      <c r="C267" t="s">
        <v>220</v>
      </c>
      <c r="D267" t="s">
        <v>288</v>
      </c>
      <c r="G267" t="s">
        <v>164</v>
      </c>
      <c r="H267" t="s">
        <v>272</v>
      </c>
    </row>
    <row r="268" spans="3:8" x14ac:dyDescent="0.35">
      <c r="C268" t="s">
        <v>214</v>
      </c>
      <c r="D268" t="s">
        <v>288</v>
      </c>
      <c r="G268" t="s">
        <v>167</v>
      </c>
      <c r="H268" t="s">
        <v>272</v>
      </c>
    </row>
    <row r="269" spans="3:8" x14ac:dyDescent="0.35">
      <c r="C269" t="s">
        <v>289</v>
      </c>
      <c r="D269" t="s">
        <v>288</v>
      </c>
      <c r="G269" t="s">
        <v>150</v>
      </c>
      <c r="H269" t="s">
        <v>272</v>
      </c>
    </row>
    <row r="270" spans="3:8" x14ac:dyDescent="0.35">
      <c r="C270" t="s">
        <v>197</v>
      </c>
      <c r="D270" t="s">
        <v>288</v>
      </c>
      <c r="G270" t="s">
        <v>127</v>
      </c>
      <c r="H270" t="s">
        <v>272</v>
      </c>
    </row>
    <row r="271" spans="3:8" x14ac:dyDescent="0.35">
      <c r="C271" t="s">
        <v>280</v>
      </c>
      <c r="D271" t="s">
        <v>288</v>
      </c>
      <c r="G271" t="s">
        <v>396</v>
      </c>
      <c r="H271" t="s">
        <v>272</v>
      </c>
    </row>
    <row r="272" spans="3:8" x14ac:dyDescent="0.35">
      <c r="C272" t="s">
        <v>281</v>
      </c>
      <c r="D272" t="s">
        <v>288</v>
      </c>
      <c r="G272" t="s">
        <v>379</v>
      </c>
      <c r="H272" t="s">
        <v>272</v>
      </c>
    </row>
    <row r="273" spans="3:8" x14ac:dyDescent="0.35">
      <c r="C273" t="s">
        <v>232</v>
      </c>
      <c r="D273" t="s">
        <v>288</v>
      </c>
      <c r="G273" t="s">
        <v>132</v>
      </c>
      <c r="H273" t="s">
        <v>288</v>
      </c>
    </row>
    <row r="274" spans="3:8" x14ac:dyDescent="0.35">
      <c r="C274" t="s">
        <v>226</v>
      </c>
      <c r="D274" t="s">
        <v>288</v>
      </c>
      <c r="G274" t="s">
        <v>155</v>
      </c>
      <c r="H274" t="s">
        <v>288</v>
      </c>
    </row>
    <row r="275" spans="3:8" x14ac:dyDescent="0.35">
      <c r="C275" t="s">
        <v>228</v>
      </c>
      <c r="D275" t="s">
        <v>288</v>
      </c>
      <c r="G275" t="s">
        <v>173</v>
      </c>
      <c r="H275" t="s">
        <v>288</v>
      </c>
    </row>
    <row r="276" spans="3:8" x14ac:dyDescent="0.35">
      <c r="C276" t="s">
        <v>218</v>
      </c>
      <c r="D276" t="s">
        <v>288</v>
      </c>
      <c r="G276" t="s">
        <v>352</v>
      </c>
      <c r="H276" t="s">
        <v>288</v>
      </c>
    </row>
    <row r="277" spans="3:8" x14ac:dyDescent="0.35">
      <c r="C277" t="s">
        <v>219</v>
      </c>
      <c r="D277" t="s">
        <v>288</v>
      </c>
      <c r="G277" t="s">
        <v>151</v>
      </c>
      <c r="H277" t="s">
        <v>288</v>
      </c>
    </row>
    <row r="278" spans="3:8" x14ac:dyDescent="0.35">
      <c r="C278" t="s">
        <v>217</v>
      </c>
      <c r="D278" t="s">
        <v>288</v>
      </c>
      <c r="G278" t="s">
        <v>377</v>
      </c>
      <c r="H278" t="s">
        <v>288</v>
      </c>
    </row>
    <row r="279" spans="3:8" x14ac:dyDescent="0.35">
      <c r="C279" t="s">
        <v>216</v>
      </c>
      <c r="D279" t="s">
        <v>288</v>
      </c>
      <c r="G279" t="s">
        <v>143</v>
      </c>
      <c r="H279" t="s">
        <v>288</v>
      </c>
    </row>
    <row r="280" spans="3:8" x14ac:dyDescent="0.35">
      <c r="C280" t="s">
        <v>213</v>
      </c>
      <c r="D280" t="s">
        <v>288</v>
      </c>
      <c r="G280" t="s">
        <v>152</v>
      </c>
      <c r="H280" t="s">
        <v>288</v>
      </c>
    </row>
    <row r="281" spans="3:8" x14ac:dyDescent="0.35">
      <c r="C281" t="s">
        <v>260</v>
      </c>
      <c r="D281" t="s">
        <v>288</v>
      </c>
      <c r="G281" t="s">
        <v>162</v>
      </c>
      <c r="H281" t="s">
        <v>288</v>
      </c>
    </row>
    <row r="282" spans="3:8" x14ac:dyDescent="0.35">
      <c r="C282" t="s">
        <v>222</v>
      </c>
      <c r="D282" t="s">
        <v>288</v>
      </c>
      <c r="G282" t="s">
        <v>156</v>
      </c>
      <c r="H282" t="s">
        <v>288</v>
      </c>
    </row>
    <row r="283" spans="3:8" x14ac:dyDescent="0.35">
      <c r="C283" t="s">
        <v>212</v>
      </c>
      <c r="D283" t="s">
        <v>290</v>
      </c>
      <c r="G283" t="s">
        <v>163</v>
      </c>
      <c r="H283" t="s">
        <v>288</v>
      </c>
    </row>
    <row r="284" spans="3:8" x14ac:dyDescent="0.35">
      <c r="C284" t="s">
        <v>244</v>
      </c>
      <c r="D284" t="s">
        <v>290</v>
      </c>
      <c r="G284" t="s">
        <v>382</v>
      </c>
      <c r="H284" t="s">
        <v>288</v>
      </c>
    </row>
    <row r="285" spans="3:8" x14ac:dyDescent="0.35">
      <c r="C285" t="s">
        <v>202</v>
      </c>
      <c r="D285" t="s">
        <v>290</v>
      </c>
      <c r="G285" t="s">
        <v>370</v>
      </c>
      <c r="H285" t="s">
        <v>288</v>
      </c>
    </row>
    <row r="286" spans="3:8" x14ac:dyDescent="0.35">
      <c r="C286" t="s">
        <v>219</v>
      </c>
      <c r="D286" t="s">
        <v>290</v>
      </c>
      <c r="G286" t="s">
        <v>169</v>
      </c>
      <c r="H286" t="s">
        <v>288</v>
      </c>
    </row>
    <row r="287" spans="3:8" x14ac:dyDescent="0.35">
      <c r="C287" t="s">
        <v>213</v>
      </c>
      <c r="D287" t="s">
        <v>290</v>
      </c>
      <c r="G287" t="s">
        <v>155</v>
      </c>
      <c r="H287" t="s">
        <v>290</v>
      </c>
    </row>
    <row r="288" spans="3:8" x14ac:dyDescent="0.35">
      <c r="C288" t="s">
        <v>238</v>
      </c>
      <c r="D288" t="s">
        <v>72</v>
      </c>
      <c r="G288" t="s">
        <v>161</v>
      </c>
      <c r="H288" t="s">
        <v>290</v>
      </c>
    </row>
    <row r="289" spans="3:8" x14ac:dyDescent="0.35">
      <c r="C289" t="s">
        <v>239</v>
      </c>
      <c r="D289" t="s">
        <v>72</v>
      </c>
      <c r="G289" t="s">
        <v>159</v>
      </c>
      <c r="H289" t="s">
        <v>290</v>
      </c>
    </row>
    <row r="290" spans="3:8" x14ac:dyDescent="0.35">
      <c r="C290" t="s">
        <v>264</v>
      </c>
      <c r="D290" t="s">
        <v>72</v>
      </c>
      <c r="G290" t="s">
        <v>352</v>
      </c>
      <c r="H290" t="s">
        <v>290</v>
      </c>
    </row>
    <row r="291" spans="3:8" x14ac:dyDescent="0.35">
      <c r="C291" t="s">
        <v>240</v>
      </c>
      <c r="D291" t="s">
        <v>72</v>
      </c>
      <c r="G291" t="s">
        <v>143</v>
      </c>
      <c r="H291" t="s">
        <v>290</v>
      </c>
    </row>
    <row r="292" spans="3:8" x14ac:dyDescent="0.35">
      <c r="C292" t="s">
        <v>212</v>
      </c>
      <c r="D292" t="s">
        <v>72</v>
      </c>
      <c r="G292" t="s">
        <v>175</v>
      </c>
      <c r="H292" t="s">
        <v>290</v>
      </c>
    </row>
    <row r="293" spans="3:8" x14ac:dyDescent="0.35">
      <c r="C293" t="s">
        <v>225</v>
      </c>
      <c r="D293" t="s">
        <v>72</v>
      </c>
      <c r="G293" t="s">
        <v>152</v>
      </c>
      <c r="H293" t="s">
        <v>290</v>
      </c>
    </row>
    <row r="294" spans="3:8" x14ac:dyDescent="0.35">
      <c r="C294" t="s">
        <v>230</v>
      </c>
      <c r="D294" t="s">
        <v>72</v>
      </c>
      <c r="G294" t="s">
        <v>382</v>
      </c>
      <c r="H294" t="s">
        <v>290</v>
      </c>
    </row>
    <row r="295" spans="3:8" x14ac:dyDescent="0.35">
      <c r="C295" t="s">
        <v>219</v>
      </c>
      <c r="D295" t="s">
        <v>72</v>
      </c>
      <c r="G295" t="s">
        <v>132</v>
      </c>
      <c r="H295" t="s">
        <v>72</v>
      </c>
    </row>
    <row r="296" spans="3:8" x14ac:dyDescent="0.35">
      <c r="C296" t="s">
        <v>242</v>
      </c>
      <c r="D296" t="s">
        <v>72</v>
      </c>
      <c r="G296" t="s">
        <v>131</v>
      </c>
      <c r="H296" t="s">
        <v>72</v>
      </c>
    </row>
    <row r="297" spans="3:8" x14ac:dyDescent="0.35">
      <c r="C297" t="s">
        <v>243</v>
      </c>
      <c r="D297" t="s">
        <v>72</v>
      </c>
      <c r="G297" t="s">
        <v>169</v>
      </c>
      <c r="H297" t="s">
        <v>72</v>
      </c>
    </row>
    <row r="298" spans="3:8" x14ac:dyDescent="0.35">
      <c r="C298" t="s">
        <v>237</v>
      </c>
      <c r="D298" t="s">
        <v>72</v>
      </c>
      <c r="G298" t="s">
        <v>156</v>
      </c>
      <c r="H298" t="s">
        <v>72</v>
      </c>
    </row>
    <row r="299" spans="3:8" x14ac:dyDescent="0.35">
      <c r="C299" t="s">
        <v>213</v>
      </c>
      <c r="D299" t="s">
        <v>72</v>
      </c>
      <c r="G299" t="s">
        <v>155</v>
      </c>
      <c r="H299" t="s">
        <v>72</v>
      </c>
    </row>
    <row r="300" spans="3:8" x14ac:dyDescent="0.35">
      <c r="C300" t="s">
        <v>244</v>
      </c>
      <c r="D300" t="s">
        <v>72</v>
      </c>
      <c r="G300" t="s">
        <v>126</v>
      </c>
      <c r="H300" t="s">
        <v>72</v>
      </c>
    </row>
    <row r="301" spans="3:8" x14ac:dyDescent="0.35">
      <c r="C301" t="s">
        <v>197</v>
      </c>
      <c r="D301" t="s">
        <v>72</v>
      </c>
      <c r="G301" t="s">
        <v>161</v>
      </c>
      <c r="H301" t="s">
        <v>72</v>
      </c>
    </row>
    <row r="302" spans="3:8" x14ac:dyDescent="0.35">
      <c r="C302" t="s">
        <v>202</v>
      </c>
      <c r="D302" t="s">
        <v>72</v>
      </c>
      <c r="G302" t="s">
        <v>397</v>
      </c>
      <c r="H302" t="s">
        <v>72</v>
      </c>
    </row>
    <row r="303" spans="3:8" x14ac:dyDescent="0.35">
      <c r="C303" t="s">
        <v>234</v>
      </c>
      <c r="D303" t="s">
        <v>72</v>
      </c>
      <c r="G303" t="s">
        <v>157</v>
      </c>
      <c r="H303" t="s">
        <v>72</v>
      </c>
    </row>
    <row r="304" spans="3:8" x14ac:dyDescent="0.35">
      <c r="C304" t="s">
        <v>232</v>
      </c>
      <c r="D304" t="s">
        <v>72</v>
      </c>
      <c r="G304" t="s">
        <v>379</v>
      </c>
      <c r="H304" t="s">
        <v>72</v>
      </c>
    </row>
    <row r="305" spans="3:8" x14ac:dyDescent="0.35">
      <c r="C305" t="s">
        <v>291</v>
      </c>
      <c r="D305" t="s">
        <v>72</v>
      </c>
      <c r="G305" t="s">
        <v>159</v>
      </c>
      <c r="H305" t="s">
        <v>72</v>
      </c>
    </row>
    <row r="306" spans="3:8" x14ac:dyDescent="0.35">
      <c r="C306" t="s">
        <v>231</v>
      </c>
      <c r="D306" t="s">
        <v>72</v>
      </c>
      <c r="G306" t="s">
        <v>158</v>
      </c>
      <c r="H306" t="s">
        <v>72</v>
      </c>
    </row>
    <row r="307" spans="3:8" x14ac:dyDescent="0.35">
      <c r="C307" t="s">
        <v>228</v>
      </c>
      <c r="D307" t="s">
        <v>72</v>
      </c>
      <c r="G307" t="s">
        <v>352</v>
      </c>
      <c r="H307" t="s">
        <v>72</v>
      </c>
    </row>
    <row r="308" spans="3:8" x14ac:dyDescent="0.35">
      <c r="C308" t="s">
        <v>235</v>
      </c>
      <c r="D308" t="s">
        <v>72</v>
      </c>
      <c r="G308" t="s">
        <v>381</v>
      </c>
      <c r="H308" t="s">
        <v>72</v>
      </c>
    </row>
    <row r="309" spans="3:8" x14ac:dyDescent="0.35">
      <c r="C309" t="s">
        <v>218</v>
      </c>
      <c r="D309" t="s">
        <v>72</v>
      </c>
      <c r="G309" t="s">
        <v>151</v>
      </c>
      <c r="H309" t="s">
        <v>72</v>
      </c>
    </row>
    <row r="310" spans="3:8" x14ac:dyDescent="0.35">
      <c r="C310" t="s">
        <v>245</v>
      </c>
      <c r="D310" t="s">
        <v>72</v>
      </c>
      <c r="G310" t="s">
        <v>383</v>
      </c>
      <c r="H310" t="s">
        <v>72</v>
      </c>
    </row>
    <row r="311" spans="3:8" x14ac:dyDescent="0.35">
      <c r="C311" t="s">
        <v>246</v>
      </c>
      <c r="D311" t="s">
        <v>72</v>
      </c>
      <c r="G311" t="s">
        <v>143</v>
      </c>
      <c r="H311" t="s">
        <v>72</v>
      </c>
    </row>
    <row r="312" spans="3:8" x14ac:dyDescent="0.35">
      <c r="C312" t="s">
        <v>229</v>
      </c>
      <c r="D312" t="s">
        <v>72</v>
      </c>
      <c r="G312" t="s">
        <v>175</v>
      </c>
      <c r="H312" t="s">
        <v>72</v>
      </c>
    </row>
    <row r="313" spans="3:8" x14ac:dyDescent="0.35">
      <c r="C313" t="s">
        <v>236</v>
      </c>
      <c r="D313" t="s">
        <v>72</v>
      </c>
      <c r="G313" t="s">
        <v>171</v>
      </c>
      <c r="H313" t="s">
        <v>72</v>
      </c>
    </row>
    <row r="314" spans="3:8" x14ac:dyDescent="0.35">
      <c r="C314" t="s">
        <v>249</v>
      </c>
      <c r="D314" t="s">
        <v>72</v>
      </c>
      <c r="G314" t="s">
        <v>152</v>
      </c>
      <c r="H314" t="s">
        <v>72</v>
      </c>
    </row>
    <row r="315" spans="3:8" x14ac:dyDescent="0.35">
      <c r="C315" t="s">
        <v>250</v>
      </c>
      <c r="D315" t="s">
        <v>72</v>
      </c>
      <c r="G315" t="s">
        <v>134</v>
      </c>
      <c r="H315" t="s">
        <v>72</v>
      </c>
    </row>
    <row r="316" spans="3:8" x14ac:dyDescent="0.35">
      <c r="C316" t="s">
        <v>258</v>
      </c>
      <c r="D316" t="s">
        <v>72</v>
      </c>
      <c r="G316" t="s">
        <v>378</v>
      </c>
      <c r="H316" t="s">
        <v>72</v>
      </c>
    </row>
    <row r="317" spans="3:8" x14ac:dyDescent="0.35">
      <c r="C317" t="s">
        <v>214</v>
      </c>
      <c r="D317" t="s">
        <v>72</v>
      </c>
      <c r="G317" t="s">
        <v>129</v>
      </c>
      <c r="H317" t="s">
        <v>72</v>
      </c>
    </row>
    <row r="318" spans="3:8" x14ac:dyDescent="0.35">
      <c r="C318" t="s">
        <v>217</v>
      </c>
      <c r="D318" t="s">
        <v>72</v>
      </c>
      <c r="G318" t="s">
        <v>153</v>
      </c>
      <c r="H318" t="s">
        <v>72</v>
      </c>
    </row>
    <row r="319" spans="3:8" x14ac:dyDescent="0.35">
      <c r="C319" t="s">
        <v>220</v>
      </c>
      <c r="D319" t="s">
        <v>72</v>
      </c>
      <c r="G319" t="s">
        <v>124</v>
      </c>
      <c r="H319" t="s">
        <v>72</v>
      </c>
    </row>
    <row r="320" spans="3:8" x14ac:dyDescent="0.35">
      <c r="C320" t="s">
        <v>260</v>
      </c>
      <c r="D320" t="s">
        <v>72</v>
      </c>
      <c r="G320" t="s">
        <v>133</v>
      </c>
      <c r="H320" t="s">
        <v>72</v>
      </c>
    </row>
    <row r="321" spans="3:8" x14ac:dyDescent="0.35">
      <c r="C321" t="s">
        <v>253</v>
      </c>
      <c r="D321" t="s">
        <v>72</v>
      </c>
      <c r="G321" t="s">
        <v>135</v>
      </c>
      <c r="H321" t="s">
        <v>72</v>
      </c>
    </row>
    <row r="322" spans="3:8" x14ac:dyDescent="0.35">
      <c r="C322" t="s">
        <v>292</v>
      </c>
      <c r="D322" t="s">
        <v>72</v>
      </c>
      <c r="G322" t="s">
        <v>386</v>
      </c>
      <c r="H322" t="s">
        <v>72</v>
      </c>
    </row>
    <row r="323" spans="3:8" x14ac:dyDescent="0.35">
      <c r="C323" t="s">
        <v>211</v>
      </c>
      <c r="D323" t="s">
        <v>66</v>
      </c>
      <c r="G323" t="s">
        <v>163</v>
      </c>
      <c r="H323" t="s">
        <v>72</v>
      </c>
    </row>
    <row r="324" spans="3:8" x14ac:dyDescent="0.35">
      <c r="C324" t="s">
        <v>219</v>
      </c>
      <c r="D324" t="s">
        <v>66</v>
      </c>
      <c r="G324" t="s">
        <v>385</v>
      </c>
      <c r="H324" t="s">
        <v>72</v>
      </c>
    </row>
    <row r="325" spans="3:8" x14ac:dyDescent="0.35">
      <c r="C325" t="s">
        <v>265</v>
      </c>
      <c r="D325" t="s">
        <v>66</v>
      </c>
      <c r="G325" t="s">
        <v>382</v>
      </c>
      <c r="H325" t="s">
        <v>72</v>
      </c>
    </row>
    <row r="326" spans="3:8" x14ac:dyDescent="0.35">
      <c r="C326" t="s">
        <v>223</v>
      </c>
      <c r="D326" t="s">
        <v>66</v>
      </c>
      <c r="G326" t="s">
        <v>150</v>
      </c>
      <c r="H326" t="s">
        <v>72</v>
      </c>
    </row>
    <row r="327" spans="3:8" x14ac:dyDescent="0.35">
      <c r="C327" t="s">
        <v>212</v>
      </c>
      <c r="D327" t="s">
        <v>66</v>
      </c>
      <c r="G327" t="s">
        <v>180</v>
      </c>
      <c r="H327" t="s">
        <v>72</v>
      </c>
    </row>
    <row r="328" spans="3:8" x14ac:dyDescent="0.35">
      <c r="C328" t="s">
        <v>224</v>
      </c>
      <c r="D328" t="s">
        <v>66</v>
      </c>
      <c r="G328" t="s">
        <v>131</v>
      </c>
      <c r="H328" t="s">
        <v>66</v>
      </c>
    </row>
    <row r="329" spans="3:8" x14ac:dyDescent="0.35">
      <c r="C329" t="s">
        <v>225</v>
      </c>
      <c r="D329" t="s">
        <v>66</v>
      </c>
      <c r="G329" t="s">
        <v>155</v>
      </c>
      <c r="H329" t="s">
        <v>66</v>
      </c>
    </row>
    <row r="330" spans="3:8" x14ac:dyDescent="0.35">
      <c r="C330" t="s">
        <v>230</v>
      </c>
      <c r="D330" t="s">
        <v>66</v>
      </c>
      <c r="G330" t="s">
        <v>126</v>
      </c>
      <c r="H330" t="s">
        <v>66</v>
      </c>
    </row>
    <row r="331" spans="3:8" x14ac:dyDescent="0.35">
      <c r="C331" t="s">
        <v>274</v>
      </c>
      <c r="D331" t="s">
        <v>66</v>
      </c>
      <c r="G331" t="s">
        <v>161</v>
      </c>
      <c r="H331" t="s">
        <v>66</v>
      </c>
    </row>
    <row r="332" spans="3:8" x14ac:dyDescent="0.35">
      <c r="C332" t="s">
        <v>220</v>
      </c>
      <c r="D332" t="s">
        <v>66</v>
      </c>
      <c r="G332" t="s">
        <v>178</v>
      </c>
      <c r="H332" t="s">
        <v>66</v>
      </c>
    </row>
    <row r="333" spans="3:8" x14ac:dyDescent="0.35">
      <c r="C333" t="s">
        <v>214</v>
      </c>
      <c r="D333" t="s">
        <v>66</v>
      </c>
      <c r="G333" t="s">
        <v>157</v>
      </c>
      <c r="H333" t="s">
        <v>66</v>
      </c>
    </row>
    <row r="334" spans="3:8" x14ac:dyDescent="0.35">
      <c r="C334" t="s">
        <v>208</v>
      </c>
      <c r="D334" t="s">
        <v>66</v>
      </c>
      <c r="G334" t="s">
        <v>380</v>
      </c>
      <c r="H334" t="s">
        <v>66</v>
      </c>
    </row>
    <row r="335" spans="3:8" x14ac:dyDescent="0.35">
      <c r="C335" t="s">
        <v>197</v>
      </c>
      <c r="D335" t="s">
        <v>66</v>
      </c>
      <c r="G335" t="s">
        <v>379</v>
      </c>
      <c r="H335" t="s">
        <v>66</v>
      </c>
    </row>
    <row r="336" spans="3:8" x14ac:dyDescent="0.35">
      <c r="C336" t="s">
        <v>202</v>
      </c>
      <c r="D336" t="s">
        <v>66</v>
      </c>
      <c r="G336" t="s">
        <v>159</v>
      </c>
      <c r="H336" t="s">
        <v>66</v>
      </c>
    </row>
    <row r="337" spans="3:8" x14ac:dyDescent="0.35">
      <c r="C337" t="s">
        <v>293</v>
      </c>
      <c r="D337" t="s">
        <v>66</v>
      </c>
      <c r="G337" t="s">
        <v>352</v>
      </c>
      <c r="H337" t="s">
        <v>66</v>
      </c>
    </row>
    <row r="338" spans="3:8" x14ac:dyDescent="0.35">
      <c r="C338" t="s">
        <v>216</v>
      </c>
      <c r="D338" t="s">
        <v>66</v>
      </c>
      <c r="G338" t="s">
        <v>132</v>
      </c>
      <c r="H338" t="s">
        <v>66</v>
      </c>
    </row>
    <row r="339" spans="3:8" x14ac:dyDescent="0.35">
      <c r="C339" t="s">
        <v>226</v>
      </c>
      <c r="D339" t="s">
        <v>66</v>
      </c>
      <c r="G339" t="s">
        <v>151</v>
      </c>
      <c r="H339" t="s">
        <v>66</v>
      </c>
    </row>
    <row r="340" spans="3:8" x14ac:dyDescent="0.35">
      <c r="C340" t="s">
        <v>231</v>
      </c>
      <c r="D340" t="s">
        <v>66</v>
      </c>
      <c r="G340" t="s">
        <v>377</v>
      </c>
      <c r="H340" t="s">
        <v>66</v>
      </c>
    </row>
    <row r="341" spans="3:8" x14ac:dyDescent="0.35">
      <c r="C341" t="s">
        <v>218</v>
      </c>
      <c r="D341" t="s">
        <v>66</v>
      </c>
      <c r="G341" t="s">
        <v>378</v>
      </c>
      <c r="H341" t="s">
        <v>66</v>
      </c>
    </row>
    <row r="342" spans="3:8" x14ac:dyDescent="0.35">
      <c r="C342" t="s">
        <v>232</v>
      </c>
      <c r="D342" t="s">
        <v>66</v>
      </c>
      <c r="G342" t="s">
        <v>143</v>
      </c>
      <c r="H342" t="s">
        <v>66</v>
      </c>
    </row>
    <row r="343" spans="3:8" x14ac:dyDescent="0.35">
      <c r="C343" t="s">
        <v>247</v>
      </c>
      <c r="D343" t="s">
        <v>66</v>
      </c>
      <c r="G343" t="s">
        <v>149</v>
      </c>
      <c r="H343" t="s">
        <v>66</v>
      </c>
    </row>
    <row r="344" spans="3:8" x14ac:dyDescent="0.35">
      <c r="C344" t="s">
        <v>251</v>
      </c>
      <c r="D344" t="s">
        <v>66</v>
      </c>
      <c r="G344" t="s">
        <v>152</v>
      </c>
      <c r="H344" t="s">
        <v>66</v>
      </c>
    </row>
    <row r="345" spans="3:8" x14ac:dyDescent="0.35">
      <c r="C345" t="s">
        <v>217</v>
      </c>
      <c r="D345" t="s">
        <v>66</v>
      </c>
      <c r="G345" t="s">
        <v>133</v>
      </c>
      <c r="H345" t="s">
        <v>66</v>
      </c>
    </row>
    <row r="346" spans="3:8" x14ac:dyDescent="0.35">
      <c r="C346" t="s">
        <v>213</v>
      </c>
      <c r="D346" t="s">
        <v>66</v>
      </c>
      <c r="G346" t="s">
        <v>129</v>
      </c>
      <c r="H346" t="s">
        <v>66</v>
      </c>
    </row>
    <row r="347" spans="3:8" x14ac:dyDescent="0.35">
      <c r="C347" t="s">
        <v>215</v>
      </c>
      <c r="D347" t="s">
        <v>66</v>
      </c>
      <c r="G347" t="s">
        <v>134</v>
      </c>
      <c r="H347" t="s">
        <v>66</v>
      </c>
    </row>
    <row r="348" spans="3:8" x14ac:dyDescent="0.35">
      <c r="G348" t="s">
        <v>381</v>
      </c>
      <c r="H348" t="s">
        <v>66</v>
      </c>
    </row>
  </sheetData>
  <mergeCells count="4">
    <mergeCell ref="J2:L2"/>
    <mergeCell ref="J21:L21"/>
    <mergeCell ref="N2:P2"/>
    <mergeCell ref="N21:P2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66313-7A9C-4A53-A3F8-FBDA02955A4F}">
  <sheetPr codeName="Sheet11"/>
  <dimension ref="A1:AJ25"/>
  <sheetViews>
    <sheetView tabSelected="1" topLeftCell="A8" workbookViewId="0">
      <selection activeCell="C15" sqref="C15"/>
    </sheetView>
  </sheetViews>
  <sheetFormatPr defaultRowHeight="14.5" x14ac:dyDescent="0.35"/>
  <cols>
    <col min="1" max="1" width="8.7265625" style="19"/>
    <col min="3" max="9" width="2.7265625" customWidth="1"/>
    <col min="10" max="10" width="2.7265625" style="18" customWidth="1"/>
    <col min="12" max="18" width="2.7265625" customWidth="1"/>
    <col min="19" max="19" width="2.7265625" style="18" customWidth="1"/>
    <col min="21" max="27" width="2.7265625" customWidth="1"/>
    <col min="28" max="28" width="2.7265625" style="18" customWidth="1"/>
    <col min="30" max="36" width="2.7265625" customWidth="1"/>
    <col min="37" max="16384" width="8.7265625" style="18"/>
  </cols>
  <sheetData>
    <row r="1" spans="1:36" x14ac:dyDescent="0.35">
      <c r="B1" s="18"/>
      <c r="C1" s="18"/>
      <c r="D1" s="18"/>
      <c r="E1" s="18"/>
      <c r="F1" s="18"/>
      <c r="G1" s="18"/>
      <c r="H1" s="18"/>
      <c r="I1" s="18"/>
      <c r="K1" s="18"/>
      <c r="L1" s="18"/>
      <c r="M1" s="18"/>
      <c r="N1" s="18"/>
      <c r="O1" s="18"/>
      <c r="P1" s="18"/>
      <c r="Q1" s="18"/>
      <c r="R1" s="18"/>
      <c r="T1" s="18"/>
      <c r="U1" s="18"/>
      <c r="V1" s="18"/>
      <c r="W1" s="18"/>
      <c r="X1" s="18"/>
      <c r="Y1" s="18"/>
      <c r="Z1" s="18"/>
      <c r="AA1" s="18"/>
      <c r="AC1" s="18"/>
      <c r="AD1" s="18"/>
      <c r="AE1" s="18"/>
      <c r="AF1" s="18"/>
      <c r="AG1" s="18"/>
      <c r="AH1" s="18"/>
      <c r="AI1" s="18"/>
      <c r="AJ1" s="18"/>
    </row>
    <row r="2" spans="1:36" x14ac:dyDescent="0.35">
      <c r="B2" s="102" t="s">
        <v>455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</row>
    <row r="3" spans="1:36" x14ac:dyDescent="0.35"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</row>
    <row r="4" spans="1:36" x14ac:dyDescent="0.35"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</row>
    <row r="5" spans="1:36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</row>
    <row r="6" spans="1:36" x14ac:dyDescent="0.35"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</row>
    <row r="7" spans="1:36" x14ac:dyDescent="0.35"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</row>
    <row r="8" spans="1:36" x14ac:dyDescent="0.35">
      <c r="B8" s="66" t="s">
        <v>456</v>
      </c>
      <c r="C8" s="67"/>
      <c r="D8" s="67"/>
      <c r="E8" s="67"/>
      <c r="F8" s="67"/>
      <c r="G8" s="67"/>
      <c r="H8" s="67"/>
      <c r="I8" s="68"/>
      <c r="K8" s="75" t="s">
        <v>457</v>
      </c>
      <c r="L8" s="76"/>
      <c r="M8" s="76"/>
      <c r="N8" s="76"/>
      <c r="O8" s="76"/>
      <c r="P8" s="76"/>
      <c r="Q8" s="76"/>
      <c r="R8" s="77"/>
      <c r="T8" s="84" t="s">
        <v>458</v>
      </c>
      <c r="U8" s="85"/>
      <c r="V8" s="85"/>
      <c r="W8" s="85"/>
      <c r="X8" s="85"/>
      <c r="Y8" s="85"/>
      <c r="Z8" s="85"/>
      <c r="AA8" s="86"/>
      <c r="AC8" s="93" t="s">
        <v>459</v>
      </c>
      <c r="AD8" s="94"/>
      <c r="AE8" s="94"/>
      <c r="AF8" s="94"/>
      <c r="AG8" s="94"/>
      <c r="AH8" s="94"/>
      <c r="AI8" s="94"/>
      <c r="AJ8" s="95"/>
    </row>
    <row r="9" spans="1:36" x14ac:dyDescent="0.35">
      <c r="B9" s="69"/>
      <c r="C9" s="70"/>
      <c r="D9" s="70"/>
      <c r="E9" s="70"/>
      <c r="F9" s="70"/>
      <c r="G9" s="70"/>
      <c r="H9" s="70"/>
      <c r="I9" s="71"/>
      <c r="K9" s="78"/>
      <c r="L9" s="79"/>
      <c r="M9" s="79"/>
      <c r="N9" s="79"/>
      <c r="O9" s="79"/>
      <c r="P9" s="79"/>
      <c r="Q9" s="79"/>
      <c r="R9" s="80"/>
      <c r="T9" s="87"/>
      <c r="U9" s="88"/>
      <c r="V9" s="88"/>
      <c r="W9" s="88"/>
      <c r="X9" s="88"/>
      <c r="Y9" s="88"/>
      <c r="Z9" s="88"/>
      <c r="AA9" s="89"/>
      <c r="AC9" s="96"/>
      <c r="AD9" s="97"/>
      <c r="AE9" s="97"/>
      <c r="AF9" s="97"/>
      <c r="AG9" s="97"/>
      <c r="AH9" s="97"/>
      <c r="AI9" s="97"/>
      <c r="AJ9" s="98"/>
    </row>
    <row r="10" spans="1:36" x14ac:dyDescent="0.35">
      <c r="B10" s="69"/>
      <c r="C10" s="70"/>
      <c r="D10" s="70"/>
      <c r="E10" s="70"/>
      <c r="F10" s="70"/>
      <c r="G10" s="70"/>
      <c r="H10" s="70"/>
      <c r="I10" s="71"/>
      <c r="K10" s="78"/>
      <c r="L10" s="79"/>
      <c r="M10" s="79"/>
      <c r="N10" s="79"/>
      <c r="O10" s="79"/>
      <c r="P10" s="79"/>
      <c r="Q10" s="79"/>
      <c r="R10" s="80"/>
      <c r="T10" s="87"/>
      <c r="U10" s="88"/>
      <c r="V10" s="88"/>
      <c r="W10" s="88"/>
      <c r="X10" s="88"/>
      <c r="Y10" s="88"/>
      <c r="Z10" s="88"/>
      <c r="AA10" s="89"/>
      <c r="AC10" s="96"/>
      <c r="AD10" s="97"/>
      <c r="AE10" s="97"/>
      <c r="AF10" s="97"/>
      <c r="AG10" s="97"/>
      <c r="AH10" s="97"/>
      <c r="AI10" s="97"/>
      <c r="AJ10" s="98"/>
    </row>
    <row r="11" spans="1:36" x14ac:dyDescent="0.35">
      <c r="B11" s="72"/>
      <c r="C11" s="73"/>
      <c r="D11" s="73"/>
      <c r="E11" s="73"/>
      <c r="F11" s="73"/>
      <c r="G11" s="73"/>
      <c r="H11" s="73"/>
      <c r="I11" s="74"/>
      <c r="K11" s="81"/>
      <c r="L11" s="82"/>
      <c r="M11" s="82"/>
      <c r="N11" s="82"/>
      <c r="O11" s="82"/>
      <c r="P11" s="82"/>
      <c r="Q11" s="82"/>
      <c r="R11" s="83"/>
      <c r="T11" s="90"/>
      <c r="U11" s="91"/>
      <c r="V11" s="91"/>
      <c r="W11" s="91"/>
      <c r="X11" s="91"/>
      <c r="Y11" s="91"/>
      <c r="Z11" s="91"/>
      <c r="AA11" s="92"/>
      <c r="AC11" s="99"/>
      <c r="AD11" s="100"/>
      <c r="AE11" s="100"/>
      <c r="AF11" s="100"/>
      <c r="AG11" s="100"/>
      <c r="AH11" s="100"/>
      <c r="AI11" s="100"/>
      <c r="AJ11" s="101"/>
    </row>
    <row r="12" spans="1:36" x14ac:dyDescent="0.35">
      <c r="B12" s="52" t="str">
        <f>"Total: "&amp;COUNTA(B14:B101)</f>
        <v>Total: 7</v>
      </c>
      <c r="C12" s="53" t="s">
        <v>407</v>
      </c>
      <c r="D12" s="53" t="s">
        <v>408</v>
      </c>
      <c r="E12" s="53" t="s">
        <v>409</v>
      </c>
      <c r="F12" s="53" t="s">
        <v>410</v>
      </c>
      <c r="G12" s="53" t="s">
        <v>411</v>
      </c>
      <c r="H12" s="53" t="s">
        <v>412</v>
      </c>
      <c r="I12" s="53" t="s">
        <v>413</v>
      </c>
      <c r="K12" s="52" t="str">
        <f>"Total: "&amp;COUNTA(K14:K101)</f>
        <v>Total: 12</v>
      </c>
      <c r="L12" s="53" t="s">
        <v>407</v>
      </c>
      <c r="M12" s="53" t="s">
        <v>408</v>
      </c>
      <c r="N12" s="53" t="s">
        <v>409</v>
      </c>
      <c r="O12" s="53" t="s">
        <v>410</v>
      </c>
      <c r="P12" s="53" t="s">
        <v>411</v>
      </c>
      <c r="Q12" s="53" t="s">
        <v>412</v>
      </c>
      <c r="R12" s="53" t="s">
        <v>413</v>
      </c>
      <c r="T12" s="52" t="str">
        <f>"Total: "&amp;COUNTA(T14:T101)</f>
        <v>Total: 6</v>
      </c>
      <c r="U12" s="53" t="s">
        <v>407</v>
      </c>
      <c r="V12" s="53" t="s">
        <v>408</v>
      </c>
      <c r="W12" s="53" t="s">
        <v>409</v>
      </c>
      <c r="X12" s="53" t="s">
        <v>410</v>
      </c>
      <c r="Y12" s="53" t="s">
        <v>411</v>
      </c>
      <c r="Z12" s="53" t="s">
        <v>412</v>
      </c>
      <c r="AA12" s="53" t="s">
        <v>413</v>
      </c>
      <c r="AC12" s="52" t="str">
        <f>"Total: "&amp;COUNTA(AC14:AC101)</f>
        <v>Total: 8</v>
      </c>
      <c r="AD12" s="53" t="s">
        <v>407</v>
      </c>
      <c r="AE12" s="53" t="s">
        <v>408</v>
      </c>
      <c r="AF12" s="53" t="s">
        <v>409</v>
      </c>
      <c r="AG12" s="53" t="s">
        <v>410</v>
      </c>
      <c r="AH12" s="53" t="s">
        <v>411</v>
      </c>
      <c r="AI12" s="53" t="s">
        <v>412</v>
      </c>
      <c r="AJ12" s="53" t="s">
        <v>413</v>
      </c>
    </row>
    <row r="13" spans="1:36" hidden="1" x14ac:dyDescent="0.35">
      <c r="B13" s="103" t="str" cm="1">
        <f t="array" ref="B13:B20">RoleCall("A",'Indirect Role Tracker Cache'!L4,'Indirect Role Tracker Cache'!K4)</f>
        <v/>
      </c>
      <c r="C13" s="104"/>
      <c r="D13" s="104"/>
      <c r="E13" s="104"/>
      <c r="F13" s="104"/>
      <c r="G13" s="104"/>
      <c r="H13" s="104"/>
      <c r="I13" s="104"/>
      <c r="K13" s="103" t="str" cm="1">
        <f t="array" ref="K13:K25">RoleCall("C",'Indirect Role Tracker Cache'!L23,'Indirect Role Tracker Cache'!K23)</f>
        <v/>
      </c>
      <c r="L13" s="104"/>
      <c r="M13" s="104"/>
      <c r="N13" s="104"/>
      <c r="O13" s="104"/>
      <c r="P13" s="104"/>
      <c r="Q13" s="104"/>
      <c r="R13" s="104"/>
      <c r="T13" s="103" t="str" cm="1">
        <f t="array" ref="T13:T19">RoleCall("E",'Indirect Role Tracker Cache'!P4,'Indirect Role Tracker Cache'!O4)</f>
        <v/>
      </c>
      <c r="U13" s="104"/>
      <c r="V13" s="104"/>
      <c r="W13" s="104"/>
      <c r="X13" s="104"/>
      <c r="Y13" s="104"/>
      <c r="Z13" s="104"/>
      <c r="AA13" s="104"/>
      <c r="AC13" s="103" t="str" cm="1">
        <f t="array" ref="AC13:AC21">RoleCall("G",'Indirect Role Tracker Cache'!P23,'Indirect Role Tracker Cache'!O23)</f>
        <v/>
      </c>
      <c r="AD13" s="104"/>
      <c r="AE13" s="104"/>
      <c r="AF13" s="104"/>
      <c r="AG13" s="104"/>
      <c r="AH13" s="104"/>
      <c r="AI13" s="104"/>
      <c r="AJ13" s="104"/>
    </row>
    <row r="14" spans="1:36" x14ac:dyDescent="0.35">
      <c r="A14" s="19" t="str">
        <f>IFERROR(VLOOKUP(B14,Associates!B:C,2,FALSE), "")</f>
        <v>NPT7959</v>
      </c>
      <c r="B14" t="str">
        <v>lancaber</v>
      </c>
      <c r="K14" t="str">
        <v>amywbalo</v>
      </c>
      <c r="T14" t="str">
        <v>linlemas</v>
      </c>
      <c r="AC14" t="str">
        <v>berkebro</v>
      </c>
    </row>
    <row r="15" spans="1:36" x14ac:dyDescent="0.35">
      <c r="A15" s="19" t="str">
        <f>IFERROR(VLOOKUP(B15,Associates!B:C,2,FALSE), "")</f>
        <v>NPT7959</v>
      </c>
      <c r="B15" t="str">
        <v>laviajoc</v>
      </c>
      <c r="K15" t="str">
        <v>chaseeli</v>
      </c>
      <c r="T15" t="str">
        <v>kwiltlac</v>
      </c>
      <c r="AC15" t="str">
        <v>nalexawa</v>
      </c>
    </row>
    <row r="16" spans="1:36" x14ac:dyDescent="0.35">
      <c r="A16" s="19" t="str">
        <f>IFERROR(VLOOKUP(B16,Associates!B:C,2,FALSE), "")</f>
        <v>PT1239</v>
      </c>
      <c r="B16" t="str">
        <v>bratweya</v>
      </c>
      <c r="K16" t="str">
        <v>judsagro</v>
      </c>
      <c r="T16" t="str">
        <v>ylightfr</v>
      </c>
      <c r="AC16" t="str">
        <v>pletchea</v>
      </c>
    </row>
    <row r="17" spans="1:29" x14ac:dyDescent="0.35">
      <c r="A17" s="19" t="str">
        <f>IFERROR(VLOOKUP(B17,Associates!B:C,2,FALSE), "")</f>
        <v/>
      </c>
      <c r="B17" t="str">
        <v>alayshai</v>
      </c>
      <c r="K17" t="str">
        <v>krystgui</v>
      </c>
      <c r="T17" t="str">
        <v>srockand</v>
      </c>
      <c r="AC17" t="str">
        <v>rforesht</v>
      </c>
    </row>
    <row r="18" spans="1:29" x14ac:dyDescent="0.35">
      <c r="A18" s="19" t="str">
        <f>IFERROR(VLOOKUP(B18,Associates!B:C,2,FALSE), "")</f>
        <v/>
      </c>
      <c r="B18" t="str">
        <v>dustkelh</v>
      </c>
      <c r="K18" t="str">
        <v>linlemas</v>
      </c>
      <c r="T18" t="str">
        <v>sbrlaird</v>
      </c>
      <c r="AC18" t="str">
        <v>rigdonjd</v>
      </c>
    </row>
    <row r="19" spans="1:29" x14ac:dyDescent="0.35">
      <c r="A19" s="19" t="str">
        <f>IFERROR(VLOOKUP(B19,Associates!B:C,2,FALSE), "")</f>
        <v>NPT7959</v>
      </c>
      <c r="B19" t="str">
        <v>darmcgin</v>
      </c>
      <c r="K19" t="str">
        <v>bobbloug</v>
      </c>
      <c r="T19" t="str">
        <v>ukiddhea</v>
      </c>
      <c r="AC19" t="str">
        <v>yhaczemi</v>
      </c>
    </row>
    <row r="20" spans="1:29" x14ac:dyDescent="0.35">
      <c r="A20" s="19" t="str">
        <f>IFERROR(VLOOKUP(B20,Associates!B:C,2,FALSE), "")</f>
        <v>PT1240</v>
      </c>
      <c r="B20" t="str">
        <v>kelleywr</v>
      </c>
      <c r="K20" t="str">
        <v>kathpres</v>
      </c>
      <c r="AC20" t="str">
        <v>jianhast</v>
      </c>
    </row>
    <row r="21" spans="1:29" x14ac:dyDescent="0.35">
      <c r="K21" t="str">
        <v>friseliz</v>
      </c>
      <c r="AC21" t="str">
        <v>micfmaha</v>
      </c>
    </row>
    <row r="22" spans="1:29" x14ac:dyDescent="0.35">
      <c r="K22" t="str">
        <v>azaniesk</v>
      </c>
    </row>
    <row r="23" spans="1:29" x14ac:dyDescent="0.35">
      <c r="K23" t="str">
        <v>batebruc</v>
      </c>
    </row>
    <row r="24" spans="1:29" x14ac:dyDescent="0.35">
      <c r="K24" t="str">
        <v>arletyd</v>
      </c>
    </row>
    <row r="25" spans="1:29" x14ac:dyDescent="0.35">
      <c r="K25" t="str">
        <v>ukiddhea</v>
      </c>
    </row>
  </sheetData>
  <mergeCells count="5">
    <mergeCell ref="B8:I11"/>
    <mergeCell ref="K8:R11"/>
    <mergeCell ref="T8:AA11"/>
    <mergeCell ref="AC8:AJ11"/>
    <mergeCell ref="B2:AJ7"/>
  </mergeCells>
  <conditionalFormatting sqref="B14:B101 K14:K101 T14:T101 AC14:AC101">
    <cfRule type="containsBlanks" dxfId="3" priority="3">
      <formula>LEN(TRIM(B14))=0</formula>
    </cfRule>
    <cfRule type="notContainsBlanks" dxfId="2" priority="4">
      <formula>LEN(TRIM(B14))&gt;0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3E12-5F24-4A3A-AD6B-D1251B758D55}">
  <sheetPr codeName="Sheet12"/>
  <dimension ref="A1:E467"/>
  <sheetViews>
    <sheetView workbookViewId="0">
      <selection activeCell="D3" sqref="D3"/>
    </sheetView>
  </sheetViews>
  <sheetFormatPr defaultRowHeight="14.5" x14ac:dyDescent="0.35"/>
  <cols>
    <col min="1" max="1" width="11.26953125" style="50" bestFit="1" customWidth="1"/>
    <col min="2" max="2" width="13.90625" bestFit="1" customWidth="1"/>
    <col min="3" max="3" width="18.1796875" bestFit="1" customWidth="1"/>
    <col min="4" max="4" width="10.7265625" bestFit="1" customWidth="1"/>
  </cols>
  <sheetData>
    <row r="1" spans="1:5" x14ac:dyDescent="0.35">
      <c r="A1" s="54" t="s">
        <v>75</v>
      </c>
      <c r="B1" s="1" t="s">
        <v>76</v>
      </c>
      <c r="C1" s="1" t="s">
        <v>82</v>
      </c>
      <c r="D1" s="1" t="s">
        <v>569</v>
      </c>
      <c r="E1" s="1" t="s">
        <v>406</v>
      </c>
    </row>
    <row r="2" spans="1:5" x14ac:dyDescent="0.35">
      <c r="A2" s="50">
        <v>201839253</v>
      </c>
      <c r="B2" t="s">
        <v>234</v>
      </c>
      <c r="C2" t="s">
        <v>428</v>
      </c>
      <c r="D2" s="51" t="str">
        <f>VLOOKUP(C2,'Shift Codes'!$A$1:$K$36,2,FALSE)</f>
        <v>Sa-W</v>
      </c>
      <c r="E2" s="51" t="str">
        <f>VLOOKUP(C2,'Shift Codes'!$A$1:$K$36,3,FALSE)</f>
        <v>SUN</v>
      </c>
    </row>
    <row r="3" spans="1:5" x14ac:dyDescent="0.35">
      <c r="A3" s="50">
        <v>201690210</v>
      </c>
      <c r="B3" t="s">
        <v>562</v>
      </c>
      <c r="C3" t="s">
        <v>426</v>
      </c>
      <c r="D3" s="51" t="str">
        <f>VLOOKUP(C3,'Shift Codes'!$A$1:$K$36,2,FALSE)</f>
        <v>F-Tu</v>
      </c>
      <c r="E3" s="51" t="str">
        <f>VLOOKUP(C3,'Shift Codes'!$A$1:$K$36,3,FALSE)</f>
        <v>SUN</v>
      </c>
    </row>
    <row r="4" spans="1:5" x14ac:dyDescent="0.35">
      <c r="A4" s="50">
        <v>201636378</v>
      </c>
      <c r="B4" t="s">
        <v>537</v>
      </c>
      <c r="C4" t="s">
        <v>428</v>
      </c>
      <c r="D4" s="51" t="str">
        <f>VLOOKUP(C4,'Shift Codes'!$A$1:$K$36,2,FALSE)</f>
        <v>Sa-W</v>
      </c>
      <c r="E4" s="51" t="str">
        <f>VLOOKUP(C4,'Shift Codes'!$A$1:$K$36,3,FALSE)</f>
        <v>SUN</v>
      </c>
    </row>
    <row r="5" spans="1:5" x14ac:dyDescent="0.35">
      <c r="A5" s="50">
        <v>204757236</v>
      </c>
      <c r="B5" t="s">
        <v>522</v>
      </c>
      <c r="C5" t="s">
        <v>88</v>
      </c>
      <c r="D5" s="51" t="str">
        <f>VLOOKUP(C5,'Shift Codes'!$A$1:$K$36,2,FALSE)</f>
        <v>W-Su</v>
      </c>
      <c r="E5" s="51" t="str">
        <f>VLOOKUP(C5,'Shift Codes'!$A$1:$K$36,3,FALSE)</f>
        <v>SUN</v>
      </c>
    </row>
    <row r="6" spans="1:5" x14ac:dyDescent="0.35">
      <c r="A6" s="50">
        <v>204729731</v>
      </c>
      <c r="B6" t="s">
        <v>462</v>
      </c>
      <c r="C6" t="s">
        <v>446</v>
      </c>
      <c r="D6" s="51" t="str">
        <f>VLOOKUP(C6,'Shift Codes'!$A$1:$K$36,2,FALSE)</f>
        <v>W-Su</v>
      </c>
      <c r="E6" s="51" t="str">
        <f>VLOOKUP(C6,'Shift Codes'!$A$1:$K$36,3,FALSE)</f>
        <v>TWI</v>
      </c>
    </row>
    <row r="7" spans="1:5" x14ac:dyDescent="0.35">
      <c r="A7" s="50">
        <v>204689142</v>
      </c>
      <c r="B7" t="s">
        <v>90</v>
      </c>
      <c r="C7" t="s">
        <v>91</v>
      </c>
      <c r="D7" s="51" t="str">
        <f>VLOOKUP(C7,'Shift Codes'!$A$1:$K$36,2,FALSE)</f>
        <v>Tu-Sa</v>
      </c>
      <c r="E7" s="51" t="str">
        <f>VLOOKUP(C7,'Shift Codes'!$A$1:$K$36,3,FALSE)</f>
        <v>TWI</v>
      </c>
    </row>
    <row r="8" spans="1:5" x14ac:dyDescent="0.35">
      <c r="A8" s="50">
        <v>204689141</v>
      </c>
      <c r="B8" t="s">
        <v>465</v>
      </c>
      <c r="C8" t="s">
        <v>91</v>
      </c>
      <c r="D8" s="51" t="str">
        <f>VLOOKUP(C8,'Shift Codes'!$A$1:$K$36,2,FALSE)</f>
        <v>Tu-Sa</v>
      </c>
      <c r="E8" s="51" t="str">
        <f>VLOOKUP(C8,'Shift Codes'!$A$1:$K$36,3,FALSE)</f>
        <v>TWI</v>
      </c>
    </row>
    <row r="9" spans="1:5" x14ac:dyDescent="0.35">
      <c r="A9" s="50">
        <v>204549703</v>
      </c>
      <c r="B9" t="s">
        <v>516</v>
      </c>
      <c r="C9" t="s">
        <v>428</v>
      </c>
      <c r="D9" s="51" t="str">
        <f>VLOOKUP(C9,'Shift Codes'!$A$1:$K$36,2,FALSE)</f>
        <v>Sa-W</v>
      </c>
      <c r="E9" s="51" t="str">
        <f>VLOOKUP(C9,'Shift Codes'!$A$1:$K$36,3,FALSE)</f>
        <v>SUN</v>
      </c>
    </row>
    <row r="10" spans="1:5" x14ac:dyDescent="0.35">
      <c r="A10" s="50">
        <v>204496453</v>
      </c>
      <c r="B10" t="s">
        <v>361</v>
      </c>
      <c r="C10" t="s">
        <v>443</v>
      </c>
      <c r="D10" s="51" t="str">
        <f>VLOOKUP(C10,'Shift Codes'!$A$1:$K$36,2,FALSE)</f>
        <v>Su-Th</v>
      </c>
      <c r="E10" s="51" t="str">
        <f>VLOOKUP(C10,'Shift Codes'!$A$1:$K$36,3,FALSE)</f>
        <v>TWI</v>
      </c>
    </row>
    <row r="11" spans="1:5" x14ac:dyDescent="0.35">
      <c r="A11" s="50">
        <v>204319711</v>
      </c>
      <c r="B11" t="s">
        <v>498</v>
      </c>
      <c r="C11" t="s">
        <v>104</v>
      </c>
      <c r="D11" s="51" t="str">
        <f>VLOOKUP(C11,'Shift Codes'!$A$1:$K$36,2,FALSE)</f>
        <v>W-Su</v>
      </c>
      <c r="E11" s="51" t="str">
        <f>VLOOKUP(C11,'Shift Codes'!$A$1:$K$36,3,FALSE)</f>
        <v>DAY</v>
      </c>
    </row>
    <row r="12" spans="1:5" x14ac:dyDescent="0.35">
      <c r="A12" s="50">
        <v>204217870</v>
      </c>
      <c r="B12" t="s">
        <v>548</v>
      </c>
      <c r="C12" t="s">
        <v>426</v>
      </c>
      <c r="D12" s="51" t="str">
        <f>VLOOKUP(C12,'Shift Codes'!$A$1:$K$36,2,FALSE)</f>
        <v>F-Tu</v>
      </c>
      <c r="E12" s="51" t="str">
        <f>VLOOKUP(C12,'Shift Codes'!$A$1:$K$36,3,FALSE)</f>
        <v>SUN</v>
      </c>
    </row>
    <row r="13" spans="1:5" x14ac:dyDescent="0.35">
      <c r="A13" s="50">
        <v>204181943</v>
      </c>
      <c r="B13" t="s">
        <v>96</v>
      </c>
      <c r="C13" t="s">
        <v>97</v>
      </c>
      <c r="D13" s="51" t="str">
        <f>VLOOKUP(C13,'Shift Codes'!$A$1:$K$36,2,FALSE)</f>
        <v>Sa-W</v>
      </c>
      <c r="E13" s="51" t="str">
        <f>VLOOKUP(C13,'Shift Codes'!$A$1:$K$36,3,FALSE)</f>
        <v>TWI</v>
      </c>
    </row>
    <row r="14" spans="1:5" x14ac:dyDescent="0.35">
      <c r="A14" s="50">
        <v>203928133</v>
      </c>
      <c r="B14" t="s">
        <v>292</v>
      </c>
      <c r="C14" t="s">
        <v>446</v>
      </c>
      <c r="D14" s="51" t="str">
        <f>VLOOKUP(C14,'Shift Codes'!$A$1:$K$36,2,FALSE)</f>
        <v>W-Su</v>
      </c>
      <c r="E14" s="51" t="str">
        <f>VLOOKUP(C14,'Shift Codes'!$A$1:$K$36,3,FALSE)</f>
        <v>TWI</v>
      </c>
    </row>
    <row r="15" spans="1:5" x14ac:dyDescent="0.35">
      <c r="A15" s="50">
        <v>203924850</v>
      </c>
      <c r="B15" t="s">
        <v>321</v>
      </c>
      <c r="C15" t="s">
        <v>88</v>
      </c>
      <c r="D15" s="51" t="str">
        <f>VLOOKUP(C15,'Shift Codes'!$A$1:$K$36,2,FALSE)</f>
        <v>W-Su</v>
      </c>
      <c r="E15" s="51" t="str">
        <f>VLOOKUP(C15,'Shift Codes'!$A$1:$K$36,3,FALSE)</f>
        <v>SUN</v>
      </c>
    </row>
    <row r="16" spans="1:5" x14ac:dyDescent="0.35">
      <c r="A16" s="50">
        <v>203924850</v>
      </c>
      <c r="B16" t="s">
        <v>321</v>
      </c>
      <c r="C16" t="s">
        <v>88</v>
      </c>
      <c r="D16" s="51" t="str">
        <f>VLOOKUP(C16,'Shift Codes'!$A$1:$K$36,2,FALSE)</f>
        <v>W-Su</v>
      </c>
      <c r="E16" s="51" t="str">
        <f>VLOOKUP(C16,'Shift Codes'!$A$1:$K$36,3,FALSE)</f>
        <v>SUN</v>
      </c>
    </row>
    <row r="17" spans="1:5" x14ac:dyDescent="0.35">
      <c r="A17" s="50">
        <v>203720455</v>
      </c>
      <c r="B17" t="s">
        <v>395</v>
      </c>
      <c r="C17" t="s">
        <v>450</v>
      </c>
      <c r="D17" s="51" t="str">
        <f>VLOOKUP(C17,'Shift Codes'!$A$1:$K$36,2,FALSE)</f>
        <v>F-Tu</v>
      </c>
      <c r="E17" s="51" t="str">
        <f>VLOOKUP(C17,'Shift Codes'!$A$1:$K$36,3,FALSE)</f>
        <v>NIT</v>
      </c>
    </row>
    <row r="18" spans="1:5" x14ac:dyDescent="0.35">
      <c r="A18" s="50">
        <v>203666585</v>
      </c>
      <c r="B18" t="s">
        <v>493</v>
      </c>
      <c r="C18" t="s">
        <v>88</v>
      </c>
      <c r="D18" s="51" t="str">
        <f>VLOOKUP(C18,'Shift Codes'!$A$1:$K$36,2,FALSE)</f>
        <v>W-Su</v>
      </c>
      <c r="E18" s="51" t="str">
        <f>VLOOKUP(C18,'Shift Codes'!$A$1:$K$36,3,FALSE)</f>
        <v>SUN</v>
      </c>
    </row>
    <row r="19" spans="1:5" x14ac:dyDescent="0.35">
      <c r="A19" s="50">
        <v>203435248</v>
      </c>
      <c r="B19" t="s">
        <v>500</v>
      </c>
      <c r="C19" t="s">
        <v>101</v>
      </c>
      <c r="D19" s="51" t="str">
        <f>VLOOKUP(C19,'Shift Codes'!$A$1:$K$36,2,FALSE)</f>
        <v>F-Tu</v>
      </c>
      <c r="E19" s="51" t="str">
        <f>VLOOKUP(C19,'Shift Codes'!$A$1:$K$36,3,FALSE)</f>
        <v>TWI</v>
      </c>
    </row>
    <row r="20" spans="1:5" x14ac:dyDescent="0.35">
      <c r="A20" s="50">
        <v>203435248</v>
      </c>
      <c r="B20" t="s">
        <v>500</v>
      </c>
      <c r="C20" t="s">
        <v>101</v>
      </c>
      <c r="D20" s="51" t="str">
        <f>VLOOKUP(C20,'Shift Codes'!$A$1:$K$36,2,FALSE)</f>
        <v>F-Tu</v>
      </c>
      <c r="E20" s="51" t="str">
        <f>VLOOKUP(C20,'Shift Codes'!$A$1:$K$36,3,FALSE)</f>
        <v>TWI</v>
      </c>
    </row>
    <row r="21" spans="1:5" x14ac:dyDescent="0.35">
      <c r="A21" s="50">
        <v>203435228</v>
      </c>
      <c r="B21" t="s">
        <v>100</v>
      </c>
      <c r="C21" t="s">
        <v>101</v>
      </c>
      <c r="D21" s="51" t="str">
        <f>VLOOKUP(C21,'Shift Codes'!$A$1:$K$36,2,FALSE)</f>
        <v>F-Tu</v>
      </c>
      <c r="E21" s="51" t="str">
        <f>VLOOKUP(C21,'Shift Codes'!$A$1:$K$36,3,FALSE)</f>
        <v>TWI</v>
      </c>
    </row>
    <row r="22" spans="1:5" x14ac:dyDescent="0.35">
      <c r="A22" s="50">
        <v>203415041</v>
      </c>
      <c r="B22" t="s">
        <v>360</v>
      </c>
      <c r="C22" t="s">
        <v>445</v>
      </c>
      <c r="D22" s="51" t="str">
        <f>VLOOKUP(C22,'Shift Codes'!$A$1:$K$36,2,FALSE)</f>
        <v>M-F</v>
      </c>
      <c r="E22" s="51" t="str">
        <f>VLOOKUP(C22,'Shift Codes'!$A$1:$K$36,3,FALSE)</f>
        <v>TWI</v>
      </c>
    </row>
    <row r="23" spans="1:5" x14ac:dyDescent="0.35">
      <c r="A23" s="50">
        <v>203415034</v>
      </c>
      <c r="B23" t="s">
        <v>558</v>
      </c>
      <c r="C23" t="s">
        <v>128</v>
      </c>
      <c r="D23" s="51" t="str">
        <f>VLOOKUP(C23,'Shift Codes'!$A$1:$K$36,2,FALSE)</f>
        <v>W-Su</v>
      </c>
      <c r="E23" s="51" t="str">
        <f>VLOOKUP(C23,'Shift Codes'!$A$1:$K$36,3,FALSE)</f>
        <v>NIT</v>
      </c>
    </row>
    <row r="24" spans="1:5" x14ac:dyDescent="0.35">
      <c r="A24" s="50">
        <v>203324867</v>
      </c>
      <c r="B24" t="s">
        <v>318</v>
      </c>
      <c r="C24" t="s">
        <v>419</v>
      </c>
      <c r="D24" s="51" t="str">
        <f>VLOOKUP(C24,'Shift Codes'!$A$1:$K$36,2,FALSE)</f>
        <v>Tu-Sa</v>
      </c>
      <c r="E24" s="51" t="str">
        <f>VLOOKUP(C24,'Shift Codes'!$A$1:$K$36,3,FALSE)</f>
        <v>SUN</v>
      </c>
    </row>
    <row r="25" spans="1:5" x14ac:dyDescent="0.35">
      <c r="A25" s="50">
        <v>203257191</v>
      </c>
      <c r="B25" t="s">
        <v>119</v>
      </c>
      <c r="C25" t="s">
        <v>115</v>
      </c>
      <c r="D25" s="51" t="str">
        <f>VLOOKUP(C25,'Shift Codes'!$A$1:$K$36,2,FALSE)</f>
        <v>Th-M</v>
      </c>
      <c r="E25" s="51" t="str">
        <f>VLOOKUP(C25,'Shift Codes'!$A$1:$K$36,3,FALSE)</f>
        <v>NIT</v>
      </c>
    </row>
    <row r="26" spans="1:5" x14ac:dyDescent="0.35">
      <c r="A26" s="50">
        <v>203252792</v>
      </c>
      <c r="B26" t="s">
        <v>167</v>
      </c>
      <c r="C26" t="s">
        <v>165</v>
      </c>
      <c r="D26" s="51" t="str">
        <f>VLOOKUP(C26,'Shift Codes'!$A$1:$K$36,2,FALSE)</f>
        <v>M-F</v>
      </c>
      <c r="E26" s="51" t="str">
        <f>VLOOKUP(C26,'Shift Codes'!$A$1:$K$36,3,FALSE)</f>
        <v>NIT</v>
      </c>
    </row>
    <row r="27" spans="1:5" x14ac:dyDescent="0.35">
      <c r="A27" s="50">
        <v>203227844</v>
      </c>
      <c r="B27" t="s">
        <v>168</v>
      </c>
      <c r="C27" t="s">
        <v>165</v>
      </c>
      <c r="D27" s="51" t="str">
        <f>VLOOKUP(C27,'Shift Codes'!$A$1:$K$36,2,FALSE)</f>
        <v>M-F</v>
      </c>
      <c r="E27" s="51" t="str">
        <f>VLOOKUP(C27,'Shift Codes'!$A$1:$K$36,3,FALSE)</f>
        <v>NIT</v>
      </c>
    </row>
    <row r="28" spans="1:5" x14ac:dyDescent="0.35">
      <c r="A28" s="50">
        <v>202785307</v>
      </c>
      <c r="B28" t="s">
        <v>246</v>
      </c>
      <c r="C28" t="s">
        <v>433</v>
      </c>
      <c r="D28" s="51" t="str">
        <f>VLOOKUP(C28,'Shift Codes'!$A$1:$K$36,2,FALSE)</f>
        <v>Tu-Sa</v>
      </c>
      <c r="E28" s="51" t="str">
        <f>VLOOKUP(C28,'Shift Codes'!$A$1:$K$36,3,FALSE)</f>
        <v>DAY</v>
      </c>
    </row>
    <row r="29" spans="1:5" x14ac:dyDescent="0.35">
      <c r="A29" s="50">
        <v>202753351</v>
      </c>
      <c r="B29" t="s">
        <v>207</v>
      </c>
      <c r="C29" t="s">
        <v>445</v>
      </c>
      <c r="D29" s="51" t="str">
        <f>VLOOKUP(C29,'Shift Codes'!$A$1:$K$36,2,FALSE)</f>
        <v>M-F</v>
      </c>
      <c r="E29" s="51" t="str">
        <f>VLOOKUP(C29,'Shift Codes'!$A$1:$K$36,3,FALSE)</f>
        <v>TWI</v>
      </c>
    </row>
    <row r="30" spans="1:5" x14ac:dyDescent="0.35">
      <c r="A30" s="50">
        <v>202681400</v>
      </c>
      <c r="B30" t="s">
        <v>169</v>
      </c>
      <c r="C30" t="s">
        <v>165</v>
      </c>
      <c r="D30" s="51" t="str">
        <f>VLOOKUP(C30,'Shift Codes'!$A$1:$K$36,2,FALSE)</f>
        <v>M-F</v>
      </c>
      <c r="E30" s="51" t="str">
        <f>VLOOKUP(C30,'Shift Codes'!$A$1:$K$36,3,FALSE)</f>
        <v>NIT</v>
      </c>
    </row>
    <row r="31" spans="1:5" x14ac:dyDescent="0.35">
      <c r="A31" s="50">
        <v>202603809</v>
      </c>
      <c r="B31" t="s">
        <v>322</v>
      </c>
      <c r="C31" t="s">
        <v>422</v>
      </c>
      <c r="D31" s="51" t="str">
        <f>VLOOKUP(C31,'Shift Codes'!$A$1:$K$36,2,FALSE)</f>
        <v>Th-M</v>
      </c>
      <c r="E31" s="51" t="str">
        <f>VLOOKUP(C31,'Shift Codes'!$A$1:$K$36,3,FALSE)</f>
        <v>SUN</v>
      </c>
    </row>
    <row r="32" spans="1:5" x14ac:dyDescent="0.35">
      <c r="A32" s="50">
        <v>202566713</v>
      </c>
      <c r="B32" t="s">
        <v>105</v>
      </c>
      <c r="C32" t="s">
        <v>88</v>
      </c>
      <c r="D32" s="51" t="str">
        <f>VLOOKUP(C32,'Shift Codes'!$A$1:$K$36,2,FALSE)</f>
        <v>W-Su</v>
      </c>
      <c r="E32" s="51" t="str">
        <f>VLOOKUP(C32,'Shift Codes'!$A$1:$K$36,3,FALSE)</f>
        <v>SUN</v>
      </c>
    </row>
    <row r="33" spans="1:5" x14ac:dyDescent="0.35">
      <c r="A33" s="50">
        <v>202149090</v>
      </c>
      <c r="B33" t="s">
        <v>131</v>
      </c>
      <c r="C33" t="s">
        <v>128</v>
      </c>
      <c r="D33" s="51" t="str">
        <f>VLOOKUP(C33,'Shift Codes'!$A$1:$K$36,2,FALSE)</f>
        <v>W-Su</v>
      </c>
      <c r="E33" s="51" t="str">
        <f>VLOOKUP(C33,'Shift Codes'!$A$1:$K$36,3,FALSE)</f>
        <v>NIT</v>
      </c>
    </row>
    <row r="34" spans="1:5" x14ac:dyDescent="0.35">
      <c r="A34" s="50">
        <v>202136928</v>
      </c>
      <c r="B34" t="s">
        <v>248</v>
      </c>
      <c r="C34" t="s">
        <v>433</v>
      </c>
      <c r="D34" s="51" t="str">
        <f>VLOOKUP(C34,'Shift Codes'!$A$1:$K$36,2,FALSE)</f>
        <v>Tu-Sa</v>
      </c>
      <c r="E34" s="51" t="str">
        <f>VLOOKUP(C34,'Shift Codes'!$A$1:$K$36,3,FALSE)</f>
        <v>DAY</v>
      </c>
    </row>
    <row r="35" spans="1:5" x14ac:dyDescent="0.35">
      <c r="A35" s="50">
        <v>202117640</v>
      </c>
      <c r="B35" t="s">
        <v>203</v>
      </c>
      <c r="C35" t="s">
        <v>91</v>
      </c>
      <c r="D35" s="51" t="str">
        <f>VLOOKUP(C35,'Shift Codes'!$A$1:$K$36,2,FALSE)</f>
        <v>Tu-Sa</v>
      </c>
      <c r="E35" s="51" t="str">
        <f>VLOOKUP(C35,'Shift Codes'!$A$1:$K$36,3,FALSE)</f>
        <v>TWI</v>
      </c>
    </row>
    <row r="36" spans="1:5" x14ac:dyDescent="0.35">
      <c r="A36" s="50">
        <v>202024231</v>
      </c>
      <c r="B36" t="s">
        <v>541</v>
      </c>
      <c r="C36" t="s">
        <v>97</v>
      </c>
      <c r="D36" s="51" t="str">
        <f>VLOOKUP(C36,'Shift Codes'!$A$1:$K$36,2,FALSE)</f>
        <v>Sa-W</v>
      </c>
      <c r="E36" s="51" t="str">
        <f>VLOOKUP(C36,'Shift Codes'!$A$1:$K$36,3,FALSE)</f>
        <v>TWI</v>
      </c>
    </row>
    <row r="37" spans="1:5" x14ac:dyDescent="0.35">
      <c r="A37" s="50">
        <v>202024231</v>
      </c>
      <c r="B37" t="s">
        <v>541</v>
      </c>
      <c r="C37" t="s">
        <v>97</v>
      </c>
      <c r="D37" s="51" t="str">
        <f>VLOOKUP(C37,'Shift Codes'!$A$1:$K$36,2,FALSE)</f>
        <v>Sa-W</v>
      </c>
      <c r="E37" s="51" t="str">
        <f>VLOOKUP(C37,'Shift Codes'!$A$1:$K$36,3,FALSE)</f>
        <v>TWI</v>
      </c>
    </row>
    <row r="38" spans="1:5" x14ac:dyDescent="0.35">
      <c r="A38" s="50">
        <v>202024203</v>
      </c>
      <c r="B38" t="s">
        <v>295</v>
      </c>
      <c r="C38" t="s">
        <v>415</v>
      </c>
      <c r="D38" s="51" t="str">
        <f>VLOOKUP(C38,'Shift Codes'!$A$1:$K$36,2,FALSE)</f>
        <v>Su-Th</v>
      </c>
      <c r="E38" s="51" t="str">
        <f>VLOOKUP(C38,'Shift Codes'!$A$1:$K$36,3,FALSE)</f>
        <v>SUN</v>
      </c>
    </row>
    <row r="39" spans="1:5" x14ac:dyDescent="0.35">
      <c r="A39" s="50">
        <v>201757653</v>
      </c>
      <c r="B39" t="s">
        <v>232</v>
      </c>
      <c r="C39" t="s">
        <v>433</v>
      </c>
      <c r="D39" s="51" t="str">
        <f>VLOOKUP(C39,'Shift Codes'!$A$1:$K$36,2,FALSE)</f>
        <v>Tu-Sa</v>
      </c>
      <c r="E39" s="51" t="str">
        <f>VLOOKUP(C39,'Shift Codes'!$A$1:$K$36,3,FALSE)</f>
        <v>DAY</v>
      </c>
    </row>
    <row r="40" spans="1:5" x14ac:dyDescent="0.35">
      <c r="A40" s="50">
        <v>201690210</v>
      </c>
      <c r="B40" t="s">
        <v>562</v>
      </c>
      <c r="C40" t="s">
        <v>426</v>
      </c>
      <c r="D40" s="51" t="str">
        <f>VLOOKUP(C40,'Shift Codes'!$A$1:$K$36,2,FALSE)</f>
        <v>F-Tu</v>
      </c>
      <c r="E40" s="51" t="str">
        <f>VLOOKUP(C40,'Shift Codes'!$A$1:$K$36,3,FALSE)</f>
        <v>SUN</v>
      </c>
    </row>
    <row r="41" spans="1:5" x14ac:dyDescent="0.35">
      <c r="A41" s="50">
        <v>201418841</v>
      </c>
      <c r="B41" t="s">
        <v>554</v>
      </c>
      <c r="C41" t="s">
        <v>434</v>
      </c>
      <c r="D41" s="51" t="str">
        <f>VLOOKUP(C41,'Shift Codes'!$A$1:$K$36,2,FALSE)</f>
        <v>Th-M</v>
      </c>
      <c r="E41" s="51" t="str">
        <f>VLOOKUP(C41,'Shift Codes'!$A$1:$K$36,3,FALSE)</f>
        <v>DAY</v>
      </c>
    </row>
    <row r="42" spans="1:5" x14ac:dyDescent="0.35">
      <c r="A42" s="50">
        <v>201395952</v>
      </c>
      <c r="B42" t="s">
        <v>351</v>
      </c>
      <c r="C42" t="s">
        <v>443</v>
      </c>
      <c r="D42" s="51" t="str">
        <f>VLOOKUP(C42,'Shift Codes'!$A$1:$K$36,2,FALSE)</f>
        <v>Su-Th</v>
      </c>
      <c r="E42" s="51" t="str">
        <f>VLOOKUP(C42,'Shift Codes'!$A$1:$K$36,3,FALSE)</f>
        <v>TWI</v>
      </c>
    </row>
    <row r="43" spans="1:5" x14ac:dyDescent="0.35">
      <c r="A43" s="50">
        <v>201387616</v>
      </c>
      <c r="B43" t="s">
        <v>133</v>
      </c>
      <c r="C43" t="s">
        <v>128</v>
      </c>
      <c r="D43" s="51" t="str">
        <f>VLOOKUP(C43,'Shift Codes'!$A$1:$K$36,2,FALSE)</f>
        <v>W-Su</v>
      </c>
      <c r="E43" s="51" t="str">
        <f>VLOOKUP(C43,'Shift Codes'!$A$1:$K$36,3,FALSE)</f>
        <v>NIT</v>
      </c>
    </row>
    <row r="44" spans="1:5" x14ac:dyDescent="0.35">
      <c r="A44" s="50">
        <v>201006267</v>
      </c>
      <c r="B44" t="s">
        <v>155</v>
      </c>
      <c r="C44" t="s">
        <v>148</v>
      </c>
      <c r="D44" s="51" t="str">
        <f>VLOOKUP(C44,'Shift Codes'!$A$1:$K$36,2,FALSE)</f>
        <v>Su-Th</v>
      </c>
      <c r="E44" s="51" t="str">
        <f>VLOOKUP(C44,'Shift Codes'!$A$1:$K$36,3,FALSE)</f>
        <v>NIT</v>
      </c>
    </row>
    <row r="45" spans="1:5" x14ac:dyDescent="0.35">
      <c r="A45" s="50">
        <v>200987927</v>
      </c>
      <c r="B45" t="s">
        <v>244</v>
      </c>
      <c r="C45" t="s">
        <v>433</v>
      </c>
      <c r="D45" s="51" t="str">
        <f>VLOOKUP(C45,'Shift Codes'!$A$1:$K$36,2,FALSE)</f>
        <v>Tu-Sa</v>
      </c>
      <c r="E45" s="51" t="str">
        <f>VLOOKUP(C45,'Shift Codes'!$A$1:$K$36,3,FALSE)</f>
        <v>DAY</v>
      </c>
    </row>
    <row r="46" spans="1:5" x14ac:dyDescent="0.35">
      <c r="A46" s="50">
        <v>200978372</v>
      </c>
      <c r="B46" t="s">
        <v>466</v>
      </c>
      <c r="C46" t="s">
        <v>430</v>
      </c>
      <c r="D46" s="51" t="str">
        <f>VLOOKUP(C46,'Shift Codes'!$A$1:$K$36,2,FALSE)</f>
        <v>Su-Th</v>
      </c>
      <c r="E46" s="51" t="str">
        <f>VLOOKUP(C46,'Shift Codes'!$A$1:$K$36,3,FALSE)</f>
        <v>DAY</v>
      </c>
    </row>
    <row r="47" spans="1:5" x14ac:dyDescent="0.35">
      <c r="A47" s="50">
        <v>200975324</v>
      </c>
      <c r="B47" t="s">
        <v>552</v>
      </c>
      <c r="C47" t="s">
        <v>91</v>
      </c>
      <c r="D47" s="51" t="str">
        <f>VLOOKUP(C47,'Shift Codes'!$A$1:$K$36,2,FALSE)</f>
        <v>Tu-Sa</v>
      </c>
      <c r="E47" s="51" t="str">
        <f>VLOOKUP(C47,'Shift Codes'!$A$1:$K$36,3,FALSE)</f>
        <v>TWI</v>
      </c>
    </row>
    <row r="48" spans="1:5" x14ac:dyDescent="0.35">
      <c r="A48" s="50">
        <v>200919151</v>
      </c>
      <c r="B48" t="s">
        <v>302</v>
      </c>
      <c r="C48" t="s">
        <v>419</v>
      </c>
      <c r="D48" s="51" t="str">
        <f>VLOOKUP(C48,'Shift Codes'!$A$1:$K$36,2,FALSE)</f>
        <v>Tu-Sa</v>
      </c>
      <c r="E48" s="51" t="str">
        <f>VLOOKUP(C48,'Shift Codes'!$A$1:$K$36,3,FALSE)</f>
        <v>SUN</v>
      </c>
    </row>
    <row r="49" spans="1:5" x14ac:dyDescent="0.35">
      <c r="A49" s="50">
        <v>200878926</v>
      </c>
      <c r="B49" t="s">
        <v>109</v>
      </c>
      <c r="C49" t="s">
        <v>110</v>
      </c>
      <c r="D49" s="51" t="str">
        <f>VLOOKUP(C49,'Shift Codes'!$A$1:$K$36,2,FALSE)</f>
        <v>M-F</v>
      </c>
      <c r="E49" s="51" t="str">
        <f>VLOOKUP(C49,'Shift Codes'!$A$1:$K$36,3,FALSE)</f>
        <v>SUN</v>
      </c>
    </row>
    <row r="50" spans="1:5" x14ac:dyDescent="0.35">
      <c r="A50" s="50">
        <v>200878926</v>
      </c>
      <c r="B50" t="s">
        <v>109</v>
      </c>
      <c r="C50" t="s">
        <v>110</v>
      </c>
      <c r="D50" s="51" t="str">
        <f>VLOOKUP(C50,'Shift Codes'!$A$1:$K$36,2,FALSE)</f>
        <v>M-F</v>
      </c>
      <c r="E50" s="51" t="str">
        <f>VLOOKUP(C50,'Shift Codes'!$A$1:$K$36,3,FALSE)</f>
        <v>SUN</v>
      </c>
    </row>
    <row r="51" spans="1:5" x14ac:dyDescent="0.35">
      <c r="A51" s="50">
        <v>200844261</v>
      </c>
      <c r="B51" t="s">
        <v>179</v>
      </c>
      <c r="C51" t="s">
        <v>165</v>
      </c>
      <c r="D51" s="51" t="str">
        <f>VLOOKUP(C51,'Shift Codes'!$A$1:$K$36,2,FALSE)</f>
        <v>M-F</v>
      </c>
      <c r="E51" s="51" t="str">
        <f>VLOOKUP(C51,'Shift Codes'!$A$1:$K$36,3,FALSE)</f>
        <v>NIT</v>
      </c>
    </row>
    <row r="52" spans="1:5" x14ac:dyDescent="0.35">
      <c r="A52" s="50">
        <v>200771525</v>
      </c>
      <c r="B52" t="s">
        <v>218</v>
      </c>
      <c r="C52" t="s">
        <v>433</v>
      </c>
      <c r="D52" s="51" t="str">
        <f>VLOOKUP(C52,'Shift Codes'!$A$1:$K$36,2,FALSE)</f>
        <v>Tu-Sa</v>
      </c>
      <c r="E52" s="51" t="str">
        <f>VLOOKUP(C52,'Shift Codes'!$A$1:$K$36,3,FALSE)</f>
        <v>DAY</v>
      </c>
    </row>
    <row r="53" spans="1:5" x14ac:dyDescent="0.35">
      <c r="A53" s="50">
        <v>200674006</v>
      </c>
      <c r="B53" t="s">
        <v>249</v>
      </c>
      <c r="C53" t="s">
        <v>435</v>
      </c>
      <c r="D53" s="51" t="str">
        <f>VLOOKUP(C53,'Shift Codes'!$A$1:$K$36,2,FALSE)</f>
        <v>F-Tu</v>
      </c>
      <c r="E53" s="51" t="str">
        <f>VLOOKUP(C53,'Shift Codes'!$A$1:$K$36,3,FALSE)</f>
        <v>DAY</v>
      </c>
    </row>
    <row r="54" spans="1:5" x14ac:dyDescent="0.35">
      <c r="A54" s="50">
        <v>200600584</v>
      </c>
      <c r="B54" t="s">
        <v>566</v>
      </c>
      <c r="C54" t="s">
        <v>104</v>
      </c>
      <c r="D54" s="51" t="str">
        <f>VLOOKUP(C54,'Shift Codes'!$A$1:$K$36,2,FALSE)</f>
        <v>W-Su</v>
      </c>
      <c r="E54" s="51" t="str">
        <f>VLOOKUP(C54,'Shift Codes'!$A$1:$K$36,3,FALSE)</f>
        <v>DAY</v>
      </c>
    </row>
    <row r="55" spans="1:5" x14ac:dyDescent="0.35">
      <c r="A55" s="50">
        <v>200442922</v>
      </c>
      <c r="B55" t="s">
        <v>538</v>
      </c>
      <c r="C55" t="s">
        <v>104</v>
      </c>
      <c r="D55" s="51" t="str">
        <f>VLOOKUP(C55,'Shift Codes'!$A$1:$K$36,2,FALSE)</f>
        <v>W-Su</v>
      </c>
      <c r="E55" s="51" t="str">
        <f>VLOOKUP(C55,'Shift Codes'!$A$1:$K$36,3,FALSE)</f>
        <v>DAY</v>
      </c>
    </row>
    <row r="56" spans="1:5" x14ac:dyDescent="0.35">
      <c r="A56" s="50">
        <v>112988919</v>
      </c>
      <c r="B56" t="s">
        <v>301</v>
      </c>
      <c r="C56" t="s">
        <v>88</v>
      </c>
      <c r="D56" s="51" t="str">
        <f>VLOOKUP(C56,'Shift Codes'!$A$1:$K$36,2,FALSE)</f>
        <v>W-Su</v>
      </c>
      <c r="E56" s="51" t="str">
        <f>VLOOKUP(C56,'Shift Codes'!$A$1:$K$36,3,FALSE)</f>
        <v>SUN</v>
      </c>
    </row>
    <row r="57" spans="1:5" x14ac:dyDescent="0.35">
      <c r="A57" s="50">
        <v>111740211</v>
      </c>
      <c r="B57" t="s">
        <v>225</v>
      </c>
      <c r="C57" t="s">
        <v>432</v>
      </c>
      <c r="D57" s="51" t="str">
        <f>VLOOKUP(C57,'Shift Codes'!$A$1:$K$36,2,FALSE)</f>
        <v>M-F</v>
      </c>
      <c r="E57" s="51" t="str">
        <f>VLOOKUP(C57,'Shift Codes'!$A$1:$K$36,3,FALSE)</f>
        <v>DAY</v>
      </c>
    </row>
    <row r="58" spans="1:5" x14ac:dyDescent="0.35">
      <c r="A58" s="50">
        <v>111403547</v>
      </c>
      <c r="B58" t="s">
        <v>112</v>
      </c>
      <c r="C58" t="s">
        <v>95</v>
      </c>
      <c r="D58" s="51" t="str">
        <f>VLOOKUP(C58,'Shift Codes'!$A$1:$K$36,2,FALSE)</f>
        <v>Th-M</v>
      </c>
      <c r="E58" s="51" t="str">
        <f>VLOOKUP(C58,'Shift Codes'!$A$1:$K$36,3,FALSE)</f>
        <v>TWI</v>
      </c>
    </row>
    <row r="59" spans="1:5" x14ac:dyDescent="0.35">
      <c r="A59" s="50">
        <v>111374028</v>
      </c>
      <c r="B59" t="s">
        <v>235</v>
      </c>
      <c r="C59" t="s">
        <v>432</v>
      </c>
      <c r="D59" s="51" t="str">
        <f>VLOOKUP(C59,'Shift Codes'!$A$1:$K$36,2,FALSE)</f>
        <v>M-F</v>
      </c>
      <c r="E59" s="51" t="str">
        <f>VLOOKUP(C59,'Shift Codes'!$A$1:$K$36,3,FALSE)</f>
        <v>DAY</v>
      </c>
    </row>
    <row r="60" spans="1:5" x14ac:dyDescent="0.35">
      <c r="A60" s="50">
        <v>110932529</v>
      </c>
      <c r="B60" t="s">
        <v>260</v>
      </c>
      <c r="C60" t="s">
        <v>430</v>
      </c>
      <c r="D60" s="51" t="str">
        <f>VLOOKUP(C60,'Shift Codes'!$A$1:$K$36,2,FALSE)</f>
        <v>Su-Th</v>
      </c>
      <c r="E60" s="51" t="str">
        <f>VLOOKUP(C60,'Shift Codes'!$A$1:$K$36,3,FALSE)</f>
        <v>DAY</v>
      </c>
    </row>
    <row r="61" spans="1:5" x14ac:dyDescent="0.35">
      <c r="A61" s="50">
        <v>110307313</v>
      </c>
      <c r="B61" t="s">
        <v>125</v>
      </c>
      <c r="C61" t="s">
        <v>115</v>
      </c>
      <c r="D61" s="51" t="str">
        <f>VLOOKUP(C61,'Shift Codes'!$A$1:$K$36,2,FALSE)</f>
        <v>Th-M</v>
      </c>
      <c r="E61" s="51" t="str">
        <f>VLOOKUP(C61,'Shift Codes'!$A$1:$K$36,3,FALSE)</f>
        <v>NIT</v>
      </c>
    </row>
    <row r="62" spans="1:5" x14ac:dyDescent="0.35">
      <c r="A62" s="50">
        <v>110140177</v>
      </c>
      <c r="B62" t="s">
        <v>145</v>
      </c>
      <c r="C62" t="s">
        <v>137</v>
      </c>
      <c r="D62" s="51" t="str">
        <f>VLOOKUP(C62,'Shift Codes'!$A$1:$K$36,2,FALSE)</f>
        <v>Tu-Sa</v>
      </c>
      <c r="E62" s="51" t="str">
        <f>VLOOKUP(C62,'Shift Codes'!$A$1:$K$36,3,FALSE)</f>
        <v>NIT</v>
      </c>
    </row>
    <row r="63" spans="1:5" x14ac:dyDescent="0.35">
      <c r="A63" s="50">
        <v>108958900</v>
      </c>
      <c r="B63" t="s">
        <v>349</v>
      </c>
      <c r="C63" t="s">
        <v>110</v>
      </c>
      <c r="D63" s="51" t="str">
        <f>VLOOKUP(C63,'Shift Codes'!$A$1:$K$36,2,FALSE)</f>
        <v>M-F</v>
      </c>
      <c r="E63" s="51" t="str">
        <f>VLOOKUP(C63,'Shift Codes'!$A$1:$K$36,3,FALSE)</f>
        <v>SUN</v>
      </c>
    </row>
    <row r="64" spans="1:5" x14ac:dyDescent="0.35">
      <c r="A64" s="50">
        <v>104814964</v>
      </c>
      <c r="B64" t="s">
        <v>135</v>
      </c>
      <c r="C64" t="s">
        <v>128</v>
      </c>
      <c r="D64" s="51" t="str">
        <f>VLOOKUP(C64,'Shift Codes'!$A$1:$K$36,2,FALSE)</f>
        <v>W-Su</v>
      </c>
      <c r="E64" s="51" t="str">
        <f>VLOOKUP(C64,'Shift Codes'!$A$1:$K$36,3,FALSE)</f>
        <v>NIT</v>
      </c>
    </row>
    <row r="65" spans="1:5" x14ac:dyDescent="0.35">
      <c r="A65" s="50">
        <v>102405399</v>
      </c>
      <c r="B65" t="s">
        <v>162</v>
      </c>
      <c r="C65" t="s">
        <v>148</v>
      </c>
      <c r="D65" s="51" t="str">
        <f>VLOOKUP(C65,'Shift Codes'!$A$1:$K$36,2,FALSE)</f>
        <v>Su-Th</v>
      </c>
      <c r="E65" s="51" t="str">
        <f>VLOOKUP(C65,'Shift Codes'!$A$1:$K$36,3,FALSE)</f>
        <v>NIT</v>
      </c>
    </row>
    <row r="66" spans="1:5" x14ac:dyDescent="0.35">
      <c r="A66" s="50">
        <v>102403057</v>
      </c>
      <c r="B66" t="s">
        <v>163</v>
      </c>
      <c r="C66" t="s">
        <v>148</v>
      </c>
      <c r="D66" s="51" t="str">
        <f>VLOOKUP(C66,'Shift Codes'!$A$1:$K$36,2,FALSE)</f>
        <v>Su-Th</v>
      </c>
      <c r="E66" s="51" t="str">
        <f>VLOOKUP(C66,'Shift Codes'!$A$1:$K$36,3,FALSE)</f>
        <v>NIT</v>
      </c>
    </row>
    <row r="67" spans="1:5" x14ac:dyDescent="0.35">
      <c r="A67" s="50">
        <v>101898235</v>
      </c>
      <c r="B67" t="s">
        <v>113</v>
      </c>
      <c r="C67" t="s">
        <v>110</v>
      </c>
      <c r="D67" s="51" t="str">
        <f>VLOOKUP(C67,'Shift Codes'!$A$1:$K$36,2,FALSE)</f>
        <v>M-F</v>
      </c>
      <c r="E67" s="51" t="str">
        <f>VLOOKUP(C67,'Shift Codes'!$A$1:$K$36,3,FALSE)</f>
        <v>SUN</v>
      </c>
    </row>
    <row r="68" spans="1:5" x14ac:dyDescent="0.35">
      <c r="A68" s="50">
        <v>101898235</v>
      </c>
      <c r="B68" t="s">
        <v>113</v>
      </c>
      <c r="C68" t="s">
        <v>110</v>
      </c>
      <c r="D68" s="51" t="str">
        <f>VLOOKUP(C68,'Shift Codes'!$A$1:$K$36,2,FALSE)</f>
        <v>M-F</v>
      </c>
      <c r="E68" s="51" t="str">
        <f>VLOOKUP(C68,'Shift Codes'!$A$1:$K$36,3,FALSE)</f>
        <v>SUN</v>
      </c>
    </row>
    <row r="69" spans="1:5" x14ac:dyDescent="0.35">
      <c r="A69" s="50">
        <v>203435228</v>
      </c>
      <c r="B69" t="s">
        <v>100</v>
      </c>
      <c r="C69" t="s">
        <v>101</v>
      </c>
      <c r="D69" s="51" t="str">
        <f>VLOOKUP(C69,'Shift Codes'!$A$1:$K$36,2,FALSE)</f>
        <v>F-Tu</v>
      </c>
      <c r="E69" s="51" t="str">
        <f>VLOOKUP(C69,'Shift Codes'!$A$1:$K$36,3,FALSE)</f>
        <v>TWI</v>
      </c>
    </row>
    <row r="70" spans="1:5" x14ac:dyDescent="0.35">
      <c r="A70" s="50">
        <v>202742220</v>
      </c>
      <c r="B70" t="s">
        <v>121</v>
      </c>
      <c r="C70" t="s">
        <v>115</v>
      </c>
      <c r="D70" s="51" t="str">
        <f>VLOOKUP(C70,'Shift Codes'!$A$1:$K$36,2,FALSE)</f>
        <v>Th-M</v>
      </c>
      <c r="E70" s="51" t="str">
        <f>VLOOKUP(C70,'Shift Codes'!$A$1:$K$36,3,FALSE)</f>
        <v>NIT</v>
      </c>
    </row>
    <row r="71" spans="1:5" x14ac:dyDescent="0.35">
      <c r="A71" s="50">
        <v>202461560</v>
      </c>
      <c r="B71" t="s">
        <v>141</v>
      </c>
      <c r="C71" t="s">
        <v>137</v>
      </c>
      <c r="D71" s="51" t="str">
        <f>VLOOKUP(C71,'Shift Codes'!$A$1:$K$36,2,FALSE)</f>
        <v>Tu-Sa</v>
      </c>
      <c r="E71" s="51" t="str">
        <f>VLOOKUP(C71,'Shift Codes'!$A$1:$K$36,3,FALSE)</f>
        <v>NIT</v>
      </c>
    </row>
    <row r="72" spans="1:5" x14ac:dyDescent="0.35">
      <c r="A72" s="50">
        <v>202420645</v>
      </c>
      <c r="B72" t="s">
        <v>460</v>
      </c>
      <c r="C72" t="s">
        <v>433</v>
      </c>
      <c r="D72" s="51" t="str">
        <f>VLOOKUP(C72,'Shift Codes'!$A$1:$K$36,2,FALSE)</f>
        <v>Tu-Sa</v>
      </c>
      <c r="E72" s="51" t="str">
        <f>VLOOKUP(C72,'Shift Codes'!$A$1:$K$36,3,FALSE)</f>
        <v>DAY</v>
      </c>
    </row>
    <row r="73" spans="1:5" x14ac:dyDescent="0.35">
      <c r="A73" s="50">
        <v>202024231</v>
      </c>
      <c r="B73" t="s">
        <v>541</v>
      </c>
      <c r="C73" t="s">
        <v>97</v>
      </c>
      <c r="D73" s="51" t="str">
        <f>VLOOKUP(C73,'Shift Codes'!$A$1:$K$36,2,FALSE)</f>
        <v>Sa-W</v>
      </c>
      <c r="E73" s="51" t="str">
        <f>VLOOKUP(C73,'Shift Codes'!$A$1:$K$36,3,FALSE)</f>
        <v>TWI</v>
      </c>
    </row>
    <row r="74" spans="1:5" x14ac:dyDescent="0.35">
      <c r="A74" s="50">
        <v>202024203</v>
      </c>
      <c r="B74" t="s">
        <v>295</v>
      </c>
      <c r="C74" t="s">
        <v>415</v>
      </c>
      <c r="D74" s="51" t="str">
        <f>VLOOKUP(C74,'Shift Codes'!$A$1:$K$36,2,FALSE)</f>
        <v>Su-Th</v>
      </c>
      <c r="E74" s="51" t="str">
        <f>VLOOKUP(C74,'Shift Codes'!$A$1:$K$36,3,FALSE)</f>
        <v>SUN</v>
      </c>
    </row>
    <row r="75" spans="1:5" x14ac:dyDescent="0.35">
      <c r="A75" s="50">
        <v>201739104</v>
      </c>
      <c r="B75" t="s">
        <v>380</v>
      </c>
      <c r="C75" t="s">
        <v>450</v>
      </c>
      <c r="D75" s="51" t="str">
        <f>VLOOKUP(C75,'Shift Codes'!$A$1:$K$36,2,FALSE)</f>
        <v>F-Tu</v>
      </c>
      <c r="E75" s="51" t="str">
        <f>VLOOKUP(C75,'Shift Codes'!$A$1:$K$36,3,FALSE)</f>
        <v>NIT</v>
      </c>
    </row>
    <row r="76" spans="1:5" x14ac:dyDescent="0.35">
      <c r="A76" s="50">
        <v>201669588</v>
      </c>
      <c r="B76" t="s">
        <v>124</v>
      </c>
      <c r="C76" t="s">
        <v>115</v>
      </c>
      <c r="D76" s="51" t="str">
        <f>VLOOKUP(C76,'Shift Codes'!$A$1:$K$36,2,FALSE)</f>
        <v>Th-M</v>
      </c>
      <c r="E76" s="51" t="str">
        <f>VLOOKUP(C76,'Shift Codes'!$A$1:$K$36,3,FALSE)</f>
        <v>NIT</v>
      </c>
    </row>
    <row r="77" spans="1:5" x14ac:dyDescent="0.35">
      <c r="A77" s="50">
        <v>201006267</v>
      </c>
      <c r="B77" t="s">
        <v>155</v>
      </c>
      <c r="C77" t="s">
        <v>148</v>
      </c>
      <c r="D77" s="51" t="str">
        <f>VLOOKUP(C77,'Shift Codes'!$A$1:$K$36,2,FALSE)</f>
        <v>Su-Th</v>
      </c>
      <c r="E77" s="51" t="str">
        <f>VLOOKUP(C77,'Shift Codes'!$A$1:$K$36,3,FALSE)</f>
        <v>NIT</v>
      </c>
    </row>
    <row r="78" spans="1:5" x14ac:dyDescent="0.35">
      <c r="A78" s="50">
        <v>200979608</v>
      </c>
      <c r="B78" t="s">
        <v>383</v>
      </c>
      <c r="C78" t="s">
        <v>450</v>
      </c>
      <c r="D78" s="51" t="str">
        <f>VLOOKUP(C78,'Shift Codes'!$A$1:$K$36,2,FALSE)</f>
        <v>F-Tu</v>
      </c>
      <c r="E78" s="51" t="str">
        <f>VLOOKUP(C78,'Shift Codes'!$A$1:$K$36,3,FALSE)</f>
        <v>NIT</v>
      </c>
    </row>
    <row r="79" spans="1:5" x14ac:dyDescent="0.35">
      <c r="A79" s="50">
        <v>200824695</v>
      </c>
      <c r="B79" t="s">
        <v>158</v>
      </c>
      <c r="C79" t="s">
        <v>148</v>
      </c>
      <c r="D79" s="51" t="str">
        <f>VLOOKUP(C79,'Shift Codes'!$A$1:$K$36,2,FALSE)</f>
        <v>Su-Th</v>
      </c>
      <c r="E79" s="51" t="str">
        <f>VLOOKUP(C79,'Shift Codes'!$A$1:$K$36,3,FALSE)</f>
        <v>NIT</v>
      </c>
    </row>
    <row r="80" spans="1:5" x14ac:dyDescent="0.35">
      <c r="A80" s="50">
        <v>200600584</v>
      </c>
      <c r="B80" t="s">
        <v>566</v>
      </c>
      <c r="C80" t="s">
        <v>104</v>
      </c>
      <c r="D80" s="51" t="str">
        <f>VLOOKUP(C80,'Shift Codes'!$A$1:$K$36,2,FALSE)</f>
        <v>W-Su</v>
      </c>
      <c r="E80" s="51" t="str">
        <f>VLOOKUP(C80,'Shift Codes'!$A$1:$K$36,3,FALSE)</f>
        <v>DAY</v>
      </c>
    </row>
    <row r="81" spans="1:5" x14ac:dyDescent="0.35">
      <c r="A81" s="50">
        <v>200442922</v>
      </c>
      <c r="B81" t="s">
        <v>538</v>
      </c>
      <c r="C81" t="s">
        <v>104</v>
      </c>
      <c r="D81" s="51" t="str">
        <f>VLOOKUP(C81,'Shift Codes'!$A$1:$K$36,2,FALSE)</f>
        <v>W-Su</v>
      </c>
      <c r="E81" s="51" t="str">
        <f>VLOOKUP(C81,'Shift Codes'!$A$1:$K$36,3,FALSE)</f>
        <v>DAY</v>
      </c>
    </row>
    <row r="82" spans="1:5" x14ac:dyDescent="0.35">
      <c r="A82" s="50">
        <v>112611093</v>
      </c>
      <c r="B82" t="s">
        <v>159</v>
      </c>
      <c r="C82" t="s">
        <v>148</v>
      </c>
      <c r="D82" s="51" t="str">
        <f>VLOOKUP(C82,'Shift Codes'!$A$1:$K$36,2,FALSE)</f>
        <v>Su-Th</v>
      </c>
      <c r="E82" s="51" t="str">
        <f>VLOOKUP(C82,'Shift Codes'!$A$1:$K$36,3,FALSE)</f>
        <v>NIT</v>
      </c>
    </row>
    <row r="83" spans="1:5" x14ac:dyDescent="0.35">
      <c r="A83" s="50">
        <v>111032205</v>
      </c>
      <c r="B83" t="s">
        <v>263</v>
      </c>
      <c r="C83" t="s">
        <v>432</v>
      </c>
      <c r="D83" s="51" t="str">
        <f>VLOOKUP(C83,'Shift Codes'!$A$1:$K$36,2,FALSE)</f>
        <v>M-F</v>
      </c>
      <c r="E83" s="51" t="str">
        <f>VLOOKUP(C83,'Shift Codes'!$A$1:$K$36,3,FALSE)</f>
        <v>DAY</v>
      </c>
    </row>
    <row r="84" spans="1:5" x14ac:dyDescent="0.35">
      <c r="A84" s="50">
        <v>204161830</v>
      </c>
      <c r="B84" t="s">
        <v>565</v>
      </c>
      <c r="C84" t="s">
        <v>422</v>
      </c>
      <c r="D84" s="51" t="str">
        <f>VLOOKUP(C84,'Shift Codes'!$A$1:$K$36,2,FALSE)</f>
        <v>Th-M</v>
      </c>
      <c r="E84" s="51" t="str">
        <f>VLOOKUP(C84,'Shift Codes'!$A$1:$K$36,3,FALSE)</f>
        <v>SUN</v>
      </c>
    </row>
    <row r="85" spans="1:5" x14ac:dyDescent="0.35">
      <c r="A85" s="50">
        <v>203494839</v>
      </c>
      <c r="B85" t="s">
        <v>99</v>
      </c>
      <c r="C85" t="s">
        <v>88</v>
      </c>
      <c r="D85" s="51" t="str">
        <f>VLOOKUP(C85,'Shift Codes'!$A$1:$K$36,2,FALSE)</f>
        <v>W-Su</v>
      </c>
      <c r="E85" s="51" t="str">
        <f>VLOOKUP(C85,'Shift Codes'!$A$1:$K$36,3,FALSE)</f>
        <v>SUN</v>
      </c>
    </row>
    <row r="86" spans="1:5" x14ac:dyDescent="0.35">
      <c r="A86" s="50">
        <v>203227852</v>
      </c>
      <c r="B86" t="s">
        <v>483</v>
      </c>
      <c r="C86" t="s">
        <v>95</v>
      </c>
      <c r="D86" s="51" t="str">
        <f>VLOOKUP(C86,'Shift Codes'!$A$1:$K$36,2,FALSE)</f>
        <v>Th-M</v>
      </c>
      <c r="E86" s="51" t="str">
        <f>VLOOKUP(C86,'Shift Codes'!$A$1:$K$36,3,FALSE)</f>
        <v>TWI</v>
      </c>
    </row>
    <row r="87" spans="1:5" x14ac:dyDescent="0.35">
      <c r="A87" s="50">
        <v>202461560</v>
      </c>
      <c r="B87" t="s">
        <v>141</v>
      </c>
      <c r="C87" t="s">
        <v>137</v>
      </c>
      <c r="D87" s="51" t="str">
        <f>VLOOKUP(C87,'Shift Codes'!$A$1:$K$36,2,FALSE)</f>
        <v>Tu-Sa</v>
      </c>
      <c r="E87" s="51" t="str">
        <f>VLOOKUP(C87,'Shift Codes'!$A$1:$K$36,3,FALSE)</f>
        <v>NIT</v>
      </c>
    </row>
    <row r="88" spans="1:5" x14ac:dyDescent="0.35">
      <c r="A88" s="50">
        <v>203720455</v>
      </c>
      <c r="B88" t="s">
        <v>395</v>
      </c>
      <c r="C88" t="s">
        <v>450</v>
      </c>
      <c r="D88" s="51" t="str">
        <f>VLOOKUP(C88,'Shift Codes'!$A$1:$K$36,2,FALSE)</f>
        <v>F-Tu</v>
      </c>
      <c r="E88" s="51" t="str">
        <f>VLOOKUP(C88,'Shift Codes'!$A$1:$K$36,3,FALSE)</f>
        <v>NIT</v>
      </c>
    </row>
    <row r="89" spans="1:5" x14ac:dyDescent="0.35">
      <c r="A89" s="50">
        <v>204772812</v>
      </c>
      <c r="B89" t="s">
        <v>488</v>
      </c>
      <c r="C89" t="s">
        <v>451</v>
      </c>
      <c r="D89" s="51" t="str">
        <f>VLOOKUP(C89,'Shift Codes'!$A$1:$K$36,2,FALSE)</f>
        <v>Sa-W</v>
      </c>
      <c r="E89" s="51" t="str">
        <f>VLOOKUP(C89,'Shift Codes'!$A$1:$K$36,3,FALSE)</f>
        <v>NIT</v>
      </c>
    </row>
    <row r="90" spans="1:5" x14ac:dyDescent="0.35">
      <c r="A90" s="50">
        <v>204739983</v>
      </c>
      <c r="B90" t="s">
        <v>553</v>
      </c>
      <c r="C90" t="s">
        <v>435</v>
      </c>
      <c r="D90" s="51" t="str">
        <f>VLOOKUP(C90,'Shift Codes'!$A$1:$K$36,2,FALSE)</f>
        <v>F-Tu</v>
      </c>
      <c r="E90" s="51" t="str">
        <f>VLOOKUP(C90,'Shift Codes'!$A$1:$K$36,3,FALSE)</f>
        <v>DAY</v>
      </c>
    </row>
    <row r="91" spans="1:5" x14ac:dyDescent="0.35">
      <c r="A91" s="50">
        <v>204689142</v>
      </c>
      <c r="B91" t="s">
        <v>90</v>
      </c>
      <c r="C91" t="s">
        <v>91</v>
      </c>
      <c r="D91" s="51" t="str">
        <f>VLOOKUP(C91,'Shift Codes'!$A$1:$K$36,2,FALSE)</f>
        <v>Tu-Sa</v>
      </c>
      <c r="E91" s="51" t="str">
        <f>VLOOKUP(C91,'Shift Codes'!$A$1:$K$36,3,FALSE)</f>
        <v>TWI</v>
      </c>
    </row>
    <row r="92" spans="1:5" x14ac:dyDescent="0.35">
      <c r="A92" s="50">
        <v>204496453</v>
      </c>
      <c r="B92" t="s">
        <v>361</v>
      </c>
      <c r="C92" t="s">
        <v>443</v>
      </c>
      <c r="D92" s="51" t="str">
        <f>VLOOKUP(C92,'Shift Codes'!$A$1:$K$36,2,FALSE)</f>
        <v>Su-Th</v>
      </c>
      <c r="E92" s="51" t="str">
        <f>VLOOKUP(C92,'Shift Codes'!$A$1:$K$36,3,FALSE)</f>
        <v>TWI</v>
      </c>
    </row>
    <row r="93" spans="1:5" x14ac:dyDescent="0.35">
      <c r="A93" s="50">
        <v>203906654</v>
      </c>
      <c r="B93" t="s">
        <v>390</v>
      </c>
      <c r="C93" t="s">
        <v>450</v>
      </c>
      <c r="D93" s="51" t="str">
        <f>VLOOKUP(C93,'Shift Codes'!$A$1:$K$36,2,FALSE)</f>
        <v>F-Tu</v>
      </c>
      <c r="E93" s="51" t="str">
        <f>VLOOKUP(C93,'Shift Codes'!$A$1:$K$36,3,FALSE)</f>
        <v>NIT</v>
      </c>
    </row>
    <row r="94" spans="1:5" x14ac:dyDescent="0.35">
      <c r="A94" s="50">
        <v>203906654</v>
      </c>
      <c r="B94" t="s">
        <v>390</v>
      </c>
      <c r="C94" t="s">
        <v>450</v>
      </c>
      <c r="D94" s="51" t="str">
        <f>VLOOKUP(C94,'Shift Codes'!$A$1:$K$36,2,FALSE)</f>
        <v>F-Tu</v>
      </c>
      <c r="E94" s="51" t="str">
        <f>VLOOKUP(C94,'Shift Codes'!$A$1:$K$36,3,FALSE)</f>
        <v>NIT</v>
      </c>
    </row>
    <row r="95" spans="1:5" x14ac:dyDescent="0.35">
      <c r="A95" s="50">
        <v>203906654</v>
      </c>
      <c r="B95" t="s">
        <v>390</v>
      </c>
      <c r="C95" t="s">
        <v>450</v>
      </c>
      <c r="D95" s="51" t="str">
        <f>VLOOKUP(C95,'Shift Codes'!$A$1:$K$36,2,FALSE)</f>
        <v>F-Tu</v>
      </c>
      <c r="E95" s="51" t="str">
        <f>VLOOKUP(C95,'Shift Codes'!$A$1:$K$36,3,FALSE)</f>
        <v>NIT</v>
      </c>
    </row>
    <row r="96" spans="1:5" x14ac:dyDescent="0.35">
      <c r="A96" s="50">
        <v>203651748</v>
      </c>
      <c r="B96" t="s">
        <v>252</v>
      </c>
      <c r="C96" t="s">
        <v>104</v>
      </c>
      <c r="D96" s="51" t="str">
        <f>VLOOKUP(C96,'Shift Codes'!$A$1:$K$36,2,FALSE)</f>
        <v>W-Su</v>
      </c>
      <c r="E96" s="51" t="str">
        <f>VLOOKUP(C96,'Shift Codes'!$A$1:$K$36,3,FALSE)</f>
        <v>DAY</v>
      </c>
    </row>
    <row r="97" spans="1:5" x14ac:dyDescent="0.35">
      <c r="A97" s="50">
        <v>203435248</v>
      </c>
      <c r="B97" t="s">
        <v>500</v>
      </c>
      <c r="C97" t="s">
        <v>101</v>
      </c>
      <c r="D97" s="51" t="str">
        <f>VLOOKUP(C97,'Shift Codes'!$A$1:$K$36,2,FALSE)</f>
        <v>F-Tu</v>
      </c>
      <c r="E97" s="51" t="str">
        <f>VLOOKUP(C97,'Shift Codes'!$A$1:$K$36,3,FALSE)</f>
        <v>TWI</v>
      </c>
    </row>
    <row r="98" spans="1:5" x14ac:dyDescent="0.35">
      <c r="A98" s="50">
        <v>203435228</v>
      </c>
      <c r="B98" t="s">
        <v>100</v>
      </c>
      <c r="C98" t="s">
        <v>101</v>
      </c>
      <c r="D98" s="51" t="str">
        <f>VLOOKUP(C98,'Shift Codes'!$A$1:$K$36,2,FALSE)</f>
        <v>F-Tu</v>
      </c>
      <c r="E98" s="51" t="str">
        <f>VLOOKUP(C98,'Shift Codes'!$A$1:$K$36,3,FALSE)</f>
        <v>TWI</v>
      </c>
    </row>
    <row r="99" spans="1:5" x14ac:dyDescent="0.35">
      <c r="A99" s="50">
        <v>203435228</v>
      </c>
      <c r="B99" t="s">
        <v>100</v>
      </c>
      <c r="C99" t="s">
        <v>101</v>
      </c>
      <c r="D99" s="51" t="str">
        <f>VLOOKUP(C99,'Shift Codes'!$A$1:$K$36,2,FALSE)</f>
        <v>F-Tu</v>
      </c>
      <c r="E99" s="51" t="str">
        <f>VLOOKUP(C99,'Shift Codes'!$A$1:$K$36,3,FALSE)</f>
        <v>TWI</v>
      </c>
    </row>
    <row r="100" spans="1:5" x14ac:dyDescent="0.35">
      <c r="A100" s="50">
        <v>203418339</v>
      </c>
      <c r="B100" t="s">
        <v>316</v>
      </c>
      <c r="C100" t="s">
        <v>88</v>
      </c>
      <c r="D100" s="51" t="str">
        <f>VLOOKUP(C100,'Shift Codes'!$A$1:$K$36,2,FALSE)</f>
        <v>W-Su</v>
      </c>
      <c r="E100" s="51" t="str">
        <f>VLOOKUP(C100,'Shift Codes'!$A$1:$K$36,3,FALSE)</f>
        <v>SUN</v>
      </c>
    </row>
    <row r="101" spans="1:5" x14ac:dyDescent="0.35">
      <c r="A101" s="50">
        <v>203415041</v>
      </c>
      <c r="B101" t="s">
        <v>360</v>
      </c>
      <c r="C101" t="s">
        <v>445</v>
      </c>
      <c r="D101" s="51" t="str">
        <f>VLOOKUP(C101,'Shift Codes'!$A$1:$K$36,2,FALSE)</f>
        <v>M-F</v>
      </c>
      <c r="E101" s="51" t="str">
        <f>VLOOKUP(C101,'Shift Codes'!$A$1:$K$36,3,FALSE)</f>
        <v>TWI</v>
      </c>
    </row>
    <row r="102" spans="1:5" x14ac:dyDescent="0.35">
      <c r="A102" s="50">
        <v>203227844</v>
      </c>
      <c r="B102" t="s">
        <v>168</v>
      </c>
      <c r="C102" t="s">
        <v>165</v>
      </c>
      <c r="D102" s="51" t="str">
        <f>VLOOKUP(C102,'Shift Codes'!$A$1:$K$36,2,FALSE)</f>
        <v>M-F</v>
      </c>
      <c r="E102" s="51" t="str">
        <f>VLOOKUP(C102,'Shift Codes'!$A$1:$K$36,3,FALSE)</f>
        <v>NIT</v>
      </c>
    </row>
    <row r="103" spans="1:5" x14ac:dyDescent="0.35">
      <c r="A103" s="50">
        <v>202785307</v>
      </c>
      <c r="B103" t="s">
        <v>246</v>
      </c>
      <c r="C103" t="s">
        <v>433</v>
      </c>
      <c r="D103" s="51" t="str">
        <f>VLOOKUP(C103,'Shift Codes'!$A$1:$K$36,2,FALSE)</f>
        <v>Tu-Sa</v>
      </c>
      <c r="E103" s="51" t="str">
        <f>VLOOKUP(C103,'Shift Codes'!$A$1:$K$36,3,FALSE)</f>
        <v>DAY</v>
      </c>
    </row>
    <row r="104" spans="1:5" x14ac:dyDescent="0.35">
      <c r="A104" s="50">
        <v>202753351</v>
      </c>
      <c r="B104" t="s">
        <v>207</v>
      </c>
      <c r="C104" t="s">
        <v>445</v>
      </c>
      <c r="D104" s="51" t="str">
        <f>VLOOKUP(C104,'Shift Codes'!$A$1:$K$36,2,FALSE)</f>
        <v>M-F</v>
      </c>
      <c r="E104" s="51" t="str">
        <f>VLOOKUP(C104,'Shift Codes'!$A$1:$K$36,3,FALSE)</f>
        <v>TWI</v>
      </c>
    </row>
    <row r="105" spans="1:5" x14ac:dyDescent="0.35">
      <c r="A105" s="50">
        <v>202504801</v>
      </c>
      <c r="B105" t="s">
        <v>394</v>
      </c>
      <c r="C105" t="s">
        <v>450</v>
      </c>
      <c r="D105" s="51" t="str">
        <f>VLOOKUP(C105,'Shift Codes'!$A$1:$K$36,2,FALSE)</f>
        <v>F-Tu</v>
      </c>
      <c r="E105" s="51" t="str">
        <f>VLOOKUP(C105,'Shift Codes'!$A$1:$K$36,3,FALSE)</f>
        <v>NIT</v>
      </c>
    </row>
    <row r="106" spans="1:5" x14ac:dyDescent="0.35">
      <c r="A106" s="50">
        <v>202504801</v>
      </c>
      <c r="B106" t="s">
        <v>394</v>
      </c>
      <c r="C106" t="s">
        <v>450</v>
      </c>
      <c r="D106" s="51" t="str">
        <f>VLOOKUP(C106,'Shift Codes'!$A$1:$K$36,2,FALSE)</f>
        <v>F-Tu</v>
      </c>
      <c r="E106" s="51" t="str">
        <f>VLOOKUP(C106,'Shift Codes'!$A$1:$K$36,3,FALSE)</f>
        <v>NIT</v>
      </c>
    </row>
    <row r="107" spans="1:5" x14ac:dyDescent="0.35">
      <c r="A107" s="50">
        <v>202420645</v>
      </c>
      <c r="B107" t="s">
        <v>460</v>
      </c>
      <c r="C107" t="s">
        <v>433</v>
      </c>
      <c r="D107" s="51" t="str">
        <f>VLOOKUP(C107,'Shift Codes'!$A$1:$K$36,2,FALSE)</f>
        <v>Tu-Sa</v>
      </c>
      <c r="E107" s="51" t="str">
        <f>VLOOKUP(C107,'Shift Codes'!$A$1:$K$36,3,FALSE)</f>
        <v>DAY</v>
      </c>
    </row>
    <row r="108" spans="1:5" x14ac:dyDescent="0.35">
      <c r="A108" s="50">
        <v>202136928</v>
      </c>
      <c r="B108" t="s">
        <v>248</v>
      </c>
      <c r="C108" t="s">
        <v>433</v>
      </c>
      <c r="D108" s="51" t="str">
        <f>VLOOKUP(C108,'Shift Codes'!$A$1:$K$36,2,FALSE)</f>
        <v>Tu-Sa</v>
      </c>
      <c r="E108" s="51" t="str">
        <f>VLOOKUP(C108,'Shift Codes'!$A$1:$K$36,3,FALSE)</f>
        <v>DAY</v>
      </c>
    </row>
    <row r="109" spans="1:5" x14ac:dyDescent="0.35">
      <c r="A109" s="50">
        <v>202117640</v>
      </c>
      <c r="B109" t="s">
        <v>203</v>
      </c>
      <c r="C109" t="s">
        <v>91</v>
      </c>
      <c r="D109" s="51" t="str">
        <f>VLOOKUP(C109,'Shift Codes'!$A$1:$K$36,2,FALSE)</f>
        <v>Tu-Sa</v>
      </c>
      <c r="E109" s="51" t="str">
        <f>VLOOKUP(C109,'Shift Codes'!$A$1:$K$36,3,FALSE)</f>
        <v>TWI</v>
      </c>
    </row>
    <row r="110" spans="1:5" x14ac:dyDescent="0.35">
      <c r="A110" s="50">
        <v>202028365</v>
      </c>
      <c r="B110" t="s">
        <v>310</v>
      </c>
      <c r="C110" t="s">
        <v>415</v>
      </c>
      <c r="D110" s="51" t="str">
        <f>VLOOKUP(C110,'Shift Codes'!$A$1:$K$36,2,FALSE)</f>
        <v>Su-Th</v>
      </c>
      <c r="E110" s="51" t="str">
        <f>VLOOKUP(C110,'Shift Codes'!$A$1:$K$36,3,FALSE)</f>
        <v>SUN</v>
      </c>
    </row>
    <row r="111" spans="1:5" x14ac:dyDescent="0.35">
      <c r="A111" s="50">
        <v>202028365</v>
      </c>
      <c r="B111" t="s">
        <v>310</v>
      </c>
      <c r="C111" t="s">
        <v>415</v>
      </c>
      <c r="D111" s="51" t="str">
        <f>VLOOKUP(C111,'Shift Codes'!$A$1:$K$36,2,FALSE)</f>
        <v>Su-Th</v>
      </c>
      <c r="E111" s="51" t="str">
        <f>VLOOKUP(C111,'Shift Codes'!$A$1:$K$36,3,FALSE)</f>
        <v>SUN</v>
      </c>
    </row>
    <row r="112" spans="1:5" x14ac:dyDescent="0.35">
      <c r="A112" s="50">
        <v>202024231</v>
      </c>
      <c r="B112" t="s">
        <v>541</v>
      </c>
      <c r="C112" t="s">
        <v>97</v>
      </c>
      <c r="D112" s="51" t="str">
        <f>VLOOKUP(C112,'Shift Codes'!$A$1:$K$36,2,FALSE)</f>
        <v>Sa-W</v>
      </c>
      <c r="E112" s="51" t="str">
        <f>VLOOKUP(C112,'Shift Codes'!$A$1:$K$36,3,FALSE)</f>
        <v>TWI</v>
      </c>
    </row>
    <row r="113" spans="1:5" x14ac:dyDescent="0.35">
      <c r="A113" s="50">
        <v>201757653</v>
      </c>
      <c r="B113" t="s">
        <v>232</v>
      </c>
      <c r="C113" t="s">
        <v>433</v>
      </c>
      <c r="D113" s="51" t="str">
        <f>VLOOKUP(C113,'Shift Codes'!$A$1:$K$36,2,FALSE)</f>
        <v>Tu-Sa</v>
      </c>
      <c r="E113" s="51" t="str">
        <f>VLOOKUP(C113,'Shift Codes'!$A$1:$K$36,3,FALSE)</f>
        <v>DAY</v>
      </c>
    </row>
    <row r="114" spans="1:5" x14ac:dyDescent="0.35">
      <c r="A114" s="50">
        <v>201395952</v>
      </c>
      <c r="B114" t="s">
        <v>351</v>
      </c>
      <c r="C114" t="s">
        <v>443</v>
      </c>
      <c r="D114" s="51" t="str">
        <f>VLOOKUP(C114,'Shift Codes'!$A$1:$K$36,2,FALSE)</f>
        <v>Su-Th</v>
      </c>
      <c r="E114" s="51" t="str">
        <f>VLOOKUP(C114,'Shift Codes'!$A$1:$K$36,3,FALSE)</f>
        <v>TWI</v>
      </c>
    </row>
    <row r="115" spans="1:5" x14ac:dyDescent="0.35">
      <c r="A115" s="50">
        <v>201336092</v>
      </c>
      <c r="B115" t="s">
        <v>515</v>
      </c>
      <c r="C115" t="s">
        <v>95</v>
      </c>
      <c r="D115" s="51" t="str">
        <f>VLOOKUP(C115,'Shift Codes'!$A$1:$K$36,2,FALSE)</f>
        <v>Th-M</v>
      </c>
      <c r="E115" s="51" t="str">
        <f>VLOOKUP(C115,'Shift Codes'!$A$1:$K$36,3,FALSE)</f>
        <v>TWI</v>
      </c>
    </row>
    <row r="116" spans="1:5" x14ac:dyDescent="0.35">
      <c r="A116" s="50">
        <v>201023121</v>
      </c>
      <c r="B116" t="s">
        <v>353</v>
      </c>
      <c r="C116" t="s">
        <v>446</v>
      </c>
      <c r="D116" s="51" t="str">
        <f>VLOOKUP(C116,'Shift Codes'!$A$1:$K$36,2,FALSE)</f>
        <v>W-Su</v>
      </c>
      <c r="E116" s="51" t="str">
        <f>VLOOKUP(C116,'Shift Codes'!$A$1:$K$36,3,FALSE)</f>
        <v>TWI</v>
      </c>
    </row>
    <row r="117" spans="1:5" x14ac:dyDescent="0.35">
      <c r="A117" s="50">
        <v>201006267</v>
      </c>
      <c r="B117" t="s">
        <v>155</v>
      </c>
      <c r="C117" t="s">
        <v>148</v>
      </c>
      <c r="D117" s="51" t="str">
        <f>VLOOKUP(C117,'Shift Codes'!$A$1:$K$36,2,FALSE)</f>
        <v>Su-Th</v>
      </c>
      <c r="E117" s="51" t="str">
        <f>VLOOKUP(C117,'Shift Codes'!$A$1:$K$36,3,FALSE)</f>
        <v>NIT</v>
      </c>
    </row>
    <row r="118" spans="1:5" x14ac:dyDescent="0.35">
      <c r="A118" s="50">
        <v>200987927</v>
      </c>
      <c r="B118" t="s">
        <v>244</v>
      </c>
      <c r="C118" t="s">
        <v>433</v>
      </c>
      <c r="D118" s="51" t="str">
        <f>VLOOKUP(C118,'Shift Codes'!$A$1:$K$36,2,FALSE)</f>
        <v>Tu-Sa</v>
      </c>
      <c r="E118" s="51" t="str">
        <f>VLOOKUP(C118,'Shift Codes'!$A$1:$K$36,3,FALSE)</f>
        <v>DAY</v>
      </c>
    </row>
    <row r="119" spans="1:5" x14ac:dyDescent="0.35">
      <c r="A119" s="50">
        <v>200978372</v>
      </c>
      <c r="B119" t="s">
        <v>466</v>
      </c>
      <c r="C119" t="s">
        <v>430</v>
      </c>
      <c r="D119" s="51" t="str">
        <f>VLOOKUP(C119,'Shift Codes'!$A$1:$K$36,2,FALSE)</f>
        <v>Su-Th</v>
      </c>
      <c r="E119" s="51" t="str">
        <f>VLOOKUP(C119,'Shift Codes'!$A$1:$K$36,3,FALSE)</f>
        <v>DAY</v>
      </c>
    </row>
    <row r="120" spans="1:5" x14ac:dyDescent="0.35">
      <c r="A120" s="50">
        <v>200975324</v>
      </c>
      <c r="B120" t="s">
        <v>552</v>
      </c>
      <c r="C120" t="s">
        <v>91</v>
      </c>
      <c r="D120" s="51" t="str">
        <f>VLOOKUP(C120,'Shift Codes'!$A$1:$K$36,2,FALSE)</f>
        <v>Tu-Sa</v>
      </c>
      <c r="E120" s="51" t="str">
        <f>VLOOKUP(C120,'Shift Codes'!$A$1:$K$36,3,FALSE)</f>
        <v>TWI</v>
      </c>
    </row>
    <row r="121" spans="1:5" x14ac:dyDescent="0.35">
      <c r="A121" s="50">
        <v>200929382</v>
      </c>
      <c r="B121" t="s">
        <v>178</v>
      </c>
      <c r="C121" t="s">
        <v>165</v>
      </c>
      <c r="D121" s="51" t="str">
        <f>VLOOKUP(C121,'Shift Codes'!$A$1:$K$36,2,FALSE)</f>
        <v>M-F</v>
      </c>
      <c r="E121" s="51" t="str">
        <f>VLOOKUP(C121,'Shift Codes'!$A$1:$K$36,3,FALSE)</f>
        <v>NIT</v>
      </c>
    </row>
    <row r="122" spans="1:5" x14ac:dyDescent="0.35">
      <c r="A122" s="50">
        <v>200929382</v>
      </c>
      <c r="B122" t="s">
        <v>178</v>
      </c>
      <c r="C122" t="s">
        <v>165</v>
      </c>
      <c r="D122" s="51" t="str">
        <f>VLOOKUP(C122,'Shift Codes'!$A$1:$K$36,2,FALSE)</f>
        <v>M-F</v>
      </c>
      <c r="E122" s="51" t="str">
        <f>VLOOKUP(C122,'Shift Codes'!$A$1:$K$36,3,FALSE)</f>
        <v>NIT</v>
      </c>
    </row>
    <row r="123" spans="1:5" x14ac:dyDescent="0.35">
      <c r="A123" s="50">
        <v>200771525</v>
      </c>
      <c r="B123" t="s">
        <v>218</v>
      </c>
      <c r="C123" t="s">
        <v>433</v>
      </c>
      <c r="D123" s="51" t="str">
        <f>VLOOKUP(C123,'Shift Codes'!$A$1:$K$36,2,FALSE)</f>
        <v>Tu-Sa</v>
      </c>
      <c r="E123" s="51" t="str">
        <f>VLOOKUP(C123,'Shift Codes'!$A$1:$K$36,3,FALSE)</f>
        <v>DAY</v>
      </c>
    </row>
    <row r="124" spans="1:5" x14ac:dyDescent="0.35">
      <c r="A124" s="50">
        <v>200674006</v>
      </c>
      <c r="B124" t="s">
        <v>249</v>
      </c>
      <c r="C124" t="s">
        <v>435</v>
      </c>
      <c r="D124" s="51" t="str">
        <f>VLOOKUP(C124,'Shift Codes'!$A$1:$K$36,2,FALSE)</f>
        <v>F-Tu</v>
      </c>
      <c r="E124" s="51" t="str">
        <f>VLOOKUP(C124,'Shift Codes'!$A$1:$K$36,3,FALSE)</f>
        <v>DAY</v>
      </c>
    </row>
    <row r="125" spans="1:5" x14ac:dyDescent="0.35">
      <c r="A125" s="50">
        <v>200607238</v>
      </c>
      <c r="B125" t="s">
        <v>476</v>
      </c>
      <c r="C125" t="s">
        <v>426</v>
      </c>
      <c r="D125" s="51" t="str">
        <f>VLOOKUP(C125,'Shift Codes'!$A$1:$K$36,2,FALSE)</f>
        <v>F-Tu</v>
      </c>
      <c r="E125" s="51" t="str">
        <f>VLOOKUP(C125,'Shift Codes'!$A$1:$K$36,3,FALSE)</f>
        <v>SUN</v>
      </c>
    </row>
    <row r="126" spans="1:5" x14ac:dyDescent="0.35">
      <c r="A126" s="50">
        <v>111740211</v>
      </c>
      <c r="B126" t="s">
        <v>225</v>
      </c>
      <c r="C126" t="s">
        <v>432</v>
      </c>
      <c r="D126" s="51" t="str">
        <f>VLOOKUP(C126,'Shift Codes'!$A$1:$K$36,2,FALSE)</f>
        <v>M-F</v>
      </c>
      <c r="E126" s="51" t="str">
        <f>VLOOKUP(C126,'Shift Codes'!$A$1:$K$36,3,FALSE)</f>
        <v>DAY</v>
      </c>
    </row>
    <row r="127" spans="1:5" x14ac:dyDescent="0.35">
      <c r="A127" s="50">
        <v>111374028</v>
      </c>
      <c r="B127" t="s">
        <v>235</v>
      </c>
      <c r="C127" t="s">
        <v>432</v>
      </c>
      <c r="D127" s="51" t="str">
        <f>VLOOKUP(C127,'Shift Codes'!$A$1:$K$36,2,FALSE)</f>
        <v>M-F</v>
      </c>
      <c r="E127" s="51" t="str">
        <f>VLOOKUP(C127,'Shift Codes'!$A$1:$K$36,3,FALSE)</f>
        <v>DAY</v>
      </c>
    </row>
    <row r="128" spans="1:5" x14ac:dyDescent="0.35">
      <c r="A128" s="50">
        <v>110932529</v>
      </c>
      <c r="B128" t="s">
        <v>260</v>
      </c>
      <c r="C128" t="s">
        <v>430</v>
      </c>
      <c r="D128" s="51" t="str">
        <f>VLOOKUP(C128,'Shift Codes'!$A$1:$K$36,2,FALSE)</f>
        <v>Su-Th</v>
      </c>
      <c r="E128" s="51" t="str">
        <f>VLOOKUP(C128,'Shift Codes'!$A$1:$K$36,3,FALSE)</f>
        <v>DAY</v>
      </c>
    </row>
    <row r="129" spans="1:5" x14ac:dyDescent="0.35">
      <c r="A129" s="50">
        <v>101443405</v>
      </c>
      <c r="B129" t="s">
        <v>379</v>
      </c>
      <c r="C129" t="s">
        <v>450</v>
      </c>
      <c r="D129" s="51" t="str">
        <f>VLOOKUP(C129,'Shift Codes'!$A$1:$K$36,2,FALSE)</f>
        <v>F-Tu</v>
      </c>
      <c r="E129" s="51" t="str">
        <f>VLOOKUP(C129,'Shift Codes'!$A$1:$K$36,3,FALSE)</f>
        <v>NIT</v>
      </c>
    </row>
    <row r="130" spans="1:5" x14ac:dyDescent="0.35">
      <c r="A130" s="50">
        <v>101443405</v>
      </c>
      <c r="B130" t="s">
        <v>379</v>
      </c>
      <c r="C130" t="s">
        <v>450</v>
      </c>
      <c r="D130" s="51" t="str">
        <f>VLOOKUP(C130,'Shift Codes'!$A$1:$K$36,2,FALSE)</f>
        <v>F-Tu</v>
      </c>
      <c r="E130" s="51" t="str">
        <f>VLOOKUP(C130,'Shift Codes'!$A$1:$K$36,3,FALSE)</f>
        <v>NIT</v>
      </c>
    </row>
    <row r="131" spans="1:5" x14ac:dyDescent="0.35">
      <c r="A131" s="50">
        <v>204772822</v>
      </c>
      <c r="B131" t="s">
        <v>540</v>
      </c>
      <c r="C131" t="s">
        <v>451</v>
      </c>
      <c r="D131" s="51" t="str">
        <f>VLOOKUP(C131,'Shift Codes'!$A$1:$K$36,2,FALSE)</f>
        <v>Sa-W</v>
      </c>
      <c r="E131" s="51" t="str">
        <f>VLOOKUP(C131,'Shift Codes'!$A$1:$K$36,3,FALSE)</f>
        <v>NIT</v>
      </c>
    </row>
    <row r="132" spans="1:5" x14ac:dyDescent="0.35">
      <c r="A132" s="50">
        <v>204772822</v>
      </c>
      <c r="B132" t="s">
        <v>540</v>
      </c>
      <c r="C132" t="s">
        <v>451</v>
      </c>
      <c r="D132" s="51" t="str">
        <f>VLOOKUP(C132,'Shift Codes'!$A$1:$K$36,2,FALSE)</f>
        <v>Sa-W</v>
      </c>
      <c r="E132" s="51" t="str">
        <f>VLOOKUP(C132,'Shift Codes'!$A$1:$K$36,3,FALSE)</f>
        <v>NIT</v>
      </c>
    </row>
    <row r="133" spans="1:5" x14ac:dyDescent="0.35">
      <c r="A133" s="50">
        <v>204772821</v>
      </c>
      <c r="B133" t="s">
        <v>547</v>
      </c>
      <c r="C133" t="s">
        <v>451</v>
      </c>
      <c r="D133" s="51" t="str">
        <f>VLOOKUP(C133,'Shift Codes'!$A$1:$K$36,2,FALSE)</f>
        <v>Sa-W</v>
      </c>
      <c r="E133" s="51" t="str">
        <f>VLOOKUP(C133,'Shift Codes'!$A$1:$K$36,3,FALSE)</f>
        <v>NIT</v>
      </c>
    </row>
    <row r="134" spans="1:5" x14ac:dyDescent="0.35">
      <c r="A134" s="50">
        <v>204772821</v>
      </c>
      <c r="B134" t="s">
        <v>547</v>
      </c>
      <c r="C134" t="s">
        <v>451</v>
      </c>
      <c r="D134" s="51" t="str">
        <f>VLOOKUP(C134,'Shift Codes'!$A$1:$K$36,2,FALSE)</f>
        <v>Sa-W</v>
      </c>
      <c r="E134" s="51" t="str">
        <f>VLOOKUP(C134,'Shift Codes'!$A$1:$K$36,3,FALSE)</f>
        <v>NIT</v>
      </c>
    </row>
    <row r="135" spans="1:5" x14ac:dyDescent="0.35">
      <c r="A135" s="50">
        <v>204772812</v>
      </c>
      <c r="B135" t="s">
        <v>488</v>
      </c>
      <c r="C135" t="s">
        <v>451</v>
      </c>
      <c r="D135" s="51" t="str">
        <f>VLOOKUP(C135,'Shift Codes'!$A$1:$K$36,2,FALSE)</f>
        <v>Sa-W</v>
      </c>
      <c r="E135" s="51" t="str">
        <f>VLOOKUP(C135,'Shift Codes'!$A$1:$K$36,3,FALSE)</f>
        <v>NIT</v>
      </c>
    </row>
    <row r="136" spans="1:5" x14ac:dyDescent="0.35">
      <c r="A136" s="50">
        <v>204747988</v>
      </c>
      <c r="B136" t="s">
        <v>557</v>
      </c>
      <c r="C136" t="s">
        <v>451</v>
      </c>
      <c r="D136" s="51" t="str">
        <f>VLOOKUP(C136,'Shift Codes'!$A$1:$K$36,2,FALSE)</f>
        <v>Sa-W</v>
      </c>
      <c r="E136" s="51" t="str">
        <f>VLOOKUP(C136,'Shift Codes'!$A$1:$K$36,3,FALSE)</f>
        <v>NIT</v>
      </c>
    </row>
    <row r="137" spans="1:5" x14ac:dyDescent="0.35">
      <c r="A137" s="50">
        <v>204747988</v>
      </c>
      <c r="B137" t="s">
        <v>557</v>
      </c>
      <c r="C137" t="s">
        <v>451</v>
      </c>
      <c r="D137" s="51" t="str">
        <f>VLOOKUP(C137,'Shift Codes'!$A$1:$K$36,2,FALSE)</f>
        <v>Sa-W</v>
      </c>
      <c r="E137" s="51" t="str">
        <f>VLOOKUP(C137,'Shift Codes'!$A$1:$K$36,3,FALSE)</f>
        <v>NIT</v>
      </c>
    </row>
    <row r="138" spans="1:5" x14ac:dyDescent="0.35">
      <c r="A138" s="50">
        <v>204743756</v>
      </c>
      <c r="B138" t="s">
        <v>504</v>
      </c>
      <c r="C138" t="s">
        <v>451</v>
      </c>
      <c r="D138" s="51" t="str">
        <f>VLOOKUP(C138,'Shift Codes'!$A$1:$K$36,2,FALSE)</f>
        <v>Sa-W</v>
      </c>
      <c r="E138" s="51" t="str">
        <f>VLOOKUP(C138,'Shift Codes'!$A$1:$K$36,3,FALSE)</f>
        <v>NIT</v>
      </c>
    </row>
    <row r="139" spans="1:5" x14ac:dyDescent="0.35">
      <c r="A139" s="50">
        <v>204743756</v>
      </c>
      <c r="B139" t="s">
        <v>504</v>
      </c>
      <c r="C139" t="s">
        <v>451</v>
      </c>
      <c r="D139" s="51" t="str">
        <f>VLOOKUP(C139,'Shift Codes'!$A$1:$K$36,2,FALSE)</f>
        <v>Sa-W</v>
      </c>
      <c r="E139" s="51" t="str">
        <f>VLOOKUP(C139,'Shift Codes'!$A$1:$K$36,3,FALSE)</f>
        <v>NIT</v>
      </c>
    </row>
    <row r="140" spans="1:5" x14ac:dyDescent="0.35">
      <c r="A140" s="50">
        <v>204233460</v>
      </c>
      <c r="B140" t="s">
        <v>485</v>
      </c>
      <c r="C140" t="s">
        <v>451</v>
      </c>
      <c r="D140" s="51" t="str">
        <f>VLOOKUP(C140,'Shift Codes'!$A$1:$K$36,2,FALSE)</f>
        <v>Sa-W</v>
      </c>
      <c r="E140" s="51" t="str">
        <f>VLOOKUP(C140,'Shift Codes'!$A$1:$K$36,3,FALSE)</f>
        <v>NIT</v>
      </c>
    </row>
    <row r="141" spans="1:5" x14ac:dyDescent="0.35">
      <c r="A141" s="50">
        <v>204233460</v>
      </c>
      <c r="B141" t="s">
        <v>485</v>
      </c>
      <c r="C141" t="s">
        <v>451</v>
      </c>
      <c r="D141" s="51" t="str">
        <f>VLOOKUP(C141,'Shift Codes'!$A$1:$K$36,2,FALSE)</f>
        <v>Sa-W</v>
      </c>
      <c r="E141" s="51" t="str">
        <f>VLOOKUP(C141,'Shift Codes'!$A$1:$K$36,3,FALSE)</f>
        <v>NIT</v>
      </c>
    </row>
    <row r="142" spans="1:5" x14ac:dyDescent="0.35">
      <c r="A142" s="50">
        <v>202229164</v>
      </c>
      <c r="B142" t="s">
        <v>381</v>
      </c>
      <c r="C142" t="s">
        <v>451</v>
      </c>
      <c r="D142" s="51" t="str">
        <f>VLOOKUP(C142,'Shift Codes'!$A$1:$K$36,2,FALSE)</f>
        <v>Sa-W</v>
      </c>
      <c r="E142" s="51" t="str">
        <f>VLOOKUP(C142,'Shift Codes'!$A$1:$K$36,3,FALSE)</f>
        <v>NIT</v>
      </c>
    </row>
    <row r="143" spans="1:5" x14ac:dyDescent="0.35">
      <c r="A143" s="50">
        <v>202229164</v>
      </c>
      <c r="B143" t="s">
        <v>381</v>
      </c>
      <c r="C143" t="s">
        <v>451</v>
      </c>
      <c r="D143" s="51" t="str">
        <f>VLOOKUP(C143,'Shift Codes'!$A$1:$K$36,2,FALSE)</f>
        <v>Sa-W</v>
      </c>
      <c r="E143" s="51" t="str">
        <f>VLOOKUP(C143,'Shift Codes'!$A$1:$K$36,3,FALSE)</f>
        <v>NIT</v>
      </c>
    </row>
    <row r="144" spans="1:5" x14ac:dyDescent="0.35">
      <c r="A144" s="50">
        <v>202175983</v>
      </c>
      <c r="B144" t="s">
        <v>561</v>
      </c>
      <c r="C144" t="s">
        <v>451</v>
      </c>
      <c r="D144" s="51" t="str">
        <f>VLOOKUP(C144,'Shift Codes'!$A$1:$K$36,2,FALSE)</f>
        <v>Sa-W</v>
      </c>
      <c r="E144" s="51" t="str">
        <f>VLOOKUP(C144,'Shift Codes'!$A$1:$K$36,3,FALSE)</f>
        <v>NIT</v>
      </c>
    </row>
    <row r="145" spans="1:5" x14ac:dyDescent="0.35">
      <c r="A145" s="50">
        <v>202175983</v>
      </c>
      <c r="B145" t="s">
        <v>561</v>
      </c>
      <c r="C145" t="s">
        <v>451</v>
      </c>
      <c r="D145" s="51" t="str">
        <f>VLOOKUP(C145,'Shift Codes'!$A$1:$K$36,2,FALSE)</f>
        <v>Sa-W</v>
      </c>
      <c r="E145" s="51" t="str">
        <f>VLOOKUP(C145,'Shift Codes'!$A$1:$K$36,3,FALSE)</f>
        <v>NIT</v>
      </c>
    </row>
    <row r="146" spans="1:5" x14ac:dyDescent="0.35">
      <c r="A146" s="50">
        <v>202069303</v>
      </c>
      <c r="B146" t="s">
        <v>378</v>
      </c>
      <c r="C146" t="s">
        <v>451</v>
      </c>
      <c r="D146" s="51" t="str">
        <f>VLOOKUP(C146,'Shift Codes'!$A$1:$K$36,2,FALSE)</f>
        <v>Sa-W</v>
      </c>
      <c r="E146" s="51" t="str">
        <f>VLOOKUP(C146,'Shift Codes'!$A$1:$K$36,3,FALSE)</f>
        <v>NIT</v>
      </c>
    </row>
    <row r="147" spans="1:5" x14ac:dyDescent="0.35">
      <c r="A147" s="50">
        <v>202069303</v>
      </c>
      <c r="B147" t="s">
        <v>378</v>
      </c>
      <c r="C147" t="s">
        <v>451</v>
      </c>
      <c r="D147" s="51" t="str">
        <f>VLOOKUP(C147,'Shift Codes'!$A$1:$K$36,2,FALSE)</f>
        <v>Sa-W</v>
      </c>
      <c r="E147" s="51" t="str">
        <f>VLOOKUP(C147,'Shift Codes'!$A$1:$K$36,3,FALSE)</f>
        <v>NIT</v>
      </c>
    </row>
    <row r="148" spans="1:5" x14ac:dyDescent="0.35">
      <c r="A148" s="50">
        <v>202008183</v>
      </c>
      <c r="B148" t="s">
        <v>388</v>
      </c>
      <c r="C148" t="s">
        <v>451</v>
      </c>
      <c r="D148" s="51" t="str">
        <f>VLOOKUP(C148,'Shift Codes'!$A$1:$K$36,2,FALSE)</f>
        <v>Sa-W</v>
      </c>
      <c r="E148" s="51" t="str">
        <f>VLOOKUP(C148,'Shift Codes'!$A$1:$K$36,3,FALSE)</f>
        <v>NIT</v>
      </c>
    </row>
    <row r="149" spans="1:5" x14ac:dyDescent="0.35">
      <c r="A149" s="50">
        <v>202008183</v>
      </c>
      <c r="B149" t="s">
        <v>388</v>
      </c>
      <c r="C149" t="s">
        <v>451</v>
      </c>
      <c r="D149" s="51" t="str">
        <f>VLOOKUP(C149,'Shift Codes'!$A$1:$K$36,2,FALSE)</f>
        <v>Sa-W</v>
      </c>
      <c r="E149" s="51" t="str">
        <f>VLOOKUP(C149,'Shift Codes'!$A$1:$K$36,3,FALSE)</f>
        <v>NIT</v>
      </c>
    </row>
    <row r="150" spans="1:5" x14ac:dyDescent="0.35">
      <c r="A150" s="50">
        <v>112707812</v>
      </c>
      <c r="B150" t="s">
        <v>564</v>
      </c>
      <c r="C150" t="s">
        <v>451</v>
      </c>
      <c r="D150" s="51" t="str">
        <f>VLOOKUP(C150,'Shift Codes'!$A$1:$K$36,2,FALSE)</f>
        <v>Sa-W</v>
      </c>
      <c r="E150" s="51" t="str">
        <f>VLOOKUP(C150,'Shift Codes'!$A$1:$K$36,3,FALSE)</f>
        <v>NIT</v>
      </c>
    </row>
    <row r="151" spans="1:5" x14ac:dyDescent="0.35">
      <c r="A151" s="50">
        <v>112707812</v>
      </c>
      <c r="B151" t="s">
        <v>564</v>
      </c>
      <c r="C151" t="s">
        <v>451</v>
      </c>
      <c r="D151" s="51" t="str">
        <f>VLOOKUP(C151,'Shift Codes'!$A$1:$K$36,2,FALSE)</f>
        <v>Sa-W</v>
      </c>
      <c r="E151" s="51" t="str">
        <f>VLOOKUP(C151,'Shift Codes'!$A$1:$K$36,3,FALSE)</f>
        <v>NIT</v>
      </c>
    </row>
    <row r="152" spans="1:5" x14ac:dyDescent="0.35">
      <c r="A152" s="50">
        <v>111508729</v>
      </c>
      <c r="B152" t="s">
        <v>391</v>
      </c>
      <c r="C152" t="s">
        <v>451</v>
      </c>
      <c r="D152" s="51" t="str">
        <f>VLOOKUP(C152,'Shift Codes'!$A$1:$K$36,2,FALSE)</f>
        <v>Sa-W</v>
      </c>
      <c r="E152" s="51" t="str">
        <f>VLOOKUP(C152,'Shift Codes'!$A$1:$K$36,3,FALSE)</f>
        <v>NIT</v>
      </c>
    </row>
    <row r="153" spans="1:5" x14ac:dyDescent="0.35">
      <c r="A153" s="50">
        <v>111508729</v>
      </c>
      <c r="B153" t="s">
        <v>391</v>
      </c>
      <c r="C153" t="s">
        <v>451</v>
      </c>
      <c r="D153" s="51" t="str">
        <f>VLOOKUP(C153,'Shift Codes'!$A$1:$K$36,2,FALSE)</f>
        <v>Sa-W</v>
      </c>
      <c r="E153" s="51" t="str">
        <f>VLOOKUP(C153,'Shift Codes'!$A$1:$K$36,3,FALSE)</f>
        <v>NIT</v>
      </c>
    </row>
    <row r="154" spans="1:5" x14ac:dyDescent="0.35">
      <c r="A154" s="50">
        <v>104586150</v>
      </c>
      <c r="B154" t="s">
        <v>532</v>
      </c>
      <c r="C154" t="s">
        <v>451</v>
      </c>
      <c r="D154" s="51" t="str">
        <f>VLOOKUP(C154,'Shift Codes'!$A$1:$K$36,2,FALSE)</f>
        <v>Sa-W</v>
      </c>
      <c r="E154" s="51" t="str">
        <f>VLOOKUP(C154,'Shift Codes'!$A$1:$K$36,3,FALSE)</f>
        <v>NIT</v>
      </c>
    </row>
    <row r="155" spans="1:5" x14ac:dyDescent="0.35">
      <c r="A155" s="50">
        <v>104586150</v>
      </c>
      <c r="B155" t="s">
        <v>532</v>
      </c>
      <c r="C155" t="s">
        <v>451</v>
      </c>
      <c r="D155" s="51" t="str">
        <f>VLOOKUP(C155,'Shift Codes'!$A$1:$K$36,2,FALSE)</f>
        <v>Sa-W</v>
      </c>
      <c r="E155" s="51" t="str">
        <f>VLOOKUP(C155,'Shift Codes'!$A$1:$K$36,3,FALSE)</f>
        <v>NIT</v>
      </c>
    </row>
    <row r="156" spans="1:5" x14ac:dyDescent="0.35">
      <c r="A156" s="50">
        <v>204709181</v>
      </c>
      <c r="B156" t="s">
        <v>472</v>
      </c>
      <c r="C156" t="s">
        <v>450</v>
      </c>
      <c r="D156" s="51" t="str">
        <f>VLOOKUP(C156,'Shift Codes'!$A$1:$K$36,2,FALSE)</f>
        <v>F-Tu</v>
      </c>
      <c r="E156" s="51" t="str">
        <f>VLOOKUP(C156,'Shift Codes'!$A$1:$K$36,3,FALSE)</f>
        <v>NIT</v>
      </c>
    </row>
    <row r="157" spans="1:5" x14ac:dyDescent="0.35">
      <c r="A157" s="50">
        <v>204709181</v>
      </c>
      <c r="B157" t="s">
        <v>472</v>
      </c>
      <c r="C157" t="s">
        <v>450</v>
      </c>
      <c r="D157" s="51" t="str">
        <f>VLOOKUP(C157,'Shift Codes'!$A$1:$K$36,2,FALSE)</f>
        <v>F-Tu</v>
      </c>
      <c r="E157" s="51" t="str">
        <f>VLOOKUP(C157,'Shift Codes'!$A$1:$K$36,3,FALSE)</f>
        <v>NIT</v>
      </c>
    </row>
    <row r="158" spans="1:5" x14ac:dyDescent="0.35">
      <c r="A158" s="50">
        <v>204709176</v>
      </c>
      <c r="B158" t="s">
        <v>543</v>
      </c>
      <c r="C158" t="s">
        <v>450</v>
      </c>
      <c r="D158" s="51" t="str">
        <f>VLOOKUP(C158,'Shift Codes'!$A$1:$K$36,2,FALSE)</f>
        <v>F-Tu</v>
      </c>
      <c r="E158" s="51" t="str">
        <f>VLOOKUP(C158,'Shift Codes'!$A$1:$K$36,3,FALSE)</f>
        <v>NIT</v>
      </c>
    </row>
    <row r="159" spans="1:5" x14ac:dyDescent="0.35">
      <c r="A159" s="50">
        <v>204709176</v>
      </c>
      <c r="B159" t="s">
        <v>543</v>
      </c>
      <c r="C159" t="s">
        <v>450</v>
      </c>
      <c r="D159" s="51" t="str">
        <f>VLOOKUP(C159,'Shift Codes'!$A$1:$K$36,2,FALSE)</f>
        <v>F-Tu</v>
      </c>
      <c r="E159" s="51" t="str">
        <f>VLOOKUP(C159,'Shift Codes'!$A$1:$K$36,3,FALSE)</f>
        <v>NIT</v>
      </c>
    </row>
    <row r="160" spans="1:5" x14ac:dyDescent="0.35">
      <c r="A160" s="50">
        <v>203720455</v>
      </c>
      <c r="B160" t="s">
        <v>395</v>
      </c>
      <c r="C160" t="s">
        <v>450</v>
      </c>
      <c r="D160" s="51" t="str">
        <f>VLOOKUP(C160,'Shift Codes'!$A$1:$K$36,2,FALSE)</f>
        <v>F-Tu</v>
      </c>
      <c r="E160" s="51" t="str">
        <f>VLOOKUP(C160,'Shift Codes'!$A$1:$K$36,3,FALSE)</f>
        <v>NIT</v>
      </c>
    </row>
    <row r="161" spans="1:5" x14ac:dyDescent="0.35">
      <c r="A161" s="50">
        <v>202839378</v>
      </c>
      <c r="B161" t="s">
        <v>393</v>
      </c>
      <c r="C161" t="s">
        <v>450</v>
      </c>
      <c r="D161" s="51" t="str">
        <f>VLOOKUP(C161,'Shift Codes'!$A$1:$K$36,2,FALSE)</f>
        <v>F-Tu</v>
      </c>
      <c r="E161" s="51" t="str">
        <f>VLOOKUP(C161,'Shift Codes'!$A$1:$K$36,3,FALSE)</f>
        <v>NIT</v>
      </c>
    </row>
    <row r="162" spans="1:5" x14ac:dyDescent="0.35">
      <c r="A162" s="50">
        <v>202839378</v>
      </c>
      <c r="B162" t="s">
        <v>393</v>
      </c>
      <c r="C162" t="s">
        <v>450</v>
      </c>
      <c r="D162" s="51" t="str">
        <f>VLOOKUP(C162,'Shift Codes'!$A$1:$K$36,2,FALSE)</f>
        <v>F-Tu</v>
      </c>
      <c r="E162" s="51" t="str">
        <f>VLOOKUP(C162,'Shift Codes'!$A$1:$K$36,3,FALSE)</f>
        <v>NIT</v>
      </c>
    </row>
    <row r="163" spans="1:5" x14ac:dyDescent="0.35">
      <c r="A163" s="50">
        <v>202526689</v>
      </c>
      <c r="B163" t="s">
        <v>396</v>
      </c>
      <c r="C163" t="s">
        <v>450</v>
      </c>
      <c r="D163" s="51" t="str">
        <f>VLOOKUP(C163,'Shift Codes'!$A$1:$K$36,2,FALSE)</f>
        <v>F-Tu</v>
      </c>
      <c r="E163" s="51" t="str">
        <f>VLOOKUP(C163,'Shift Codes'!$A$1:$K$36,3,FALSE)</f>
        <v>NIT</v>
      </c>
    </row>
    <row r="164" spans="1:5" x14ac:dyDescent="0.35">
      <c r="A164" s="50">
        <v>202526689</v>
      </c>
      <c r="B164" t="s">
        <v>396</v>
      </c>
      <c r="C164" t="s">
        <v>450</v>
      </c>
      <c r="D164" s="51" t="str">
        <f>VLOOKUP(C164,'Shift Codes'!$A$1:$K$36,2,FALSE)</f>
        <v>F-Tu</v>
      </c>
      <c r="E164" s="51" t="str">
        <f>VLOOKUP(C164,'Shift Codes'!$A$1:$K$36,3,FALSE)</f>
        <v>NIT</v>
      </c>
    </row>
    <row r="165" spans="1:5" x14ac:dyDescent="0.35">
      <c r="A165" s="50">
        <v>202062363</v>
      </c>
      <c r="B165" t="s">
        <v>475</v>
      </c>
      <c r="C165" t="s">
        <v>450</v>
      </c>
      <c r="D165" s="51" t="str">
        <f>VLOOKUP(C165,'Shift Codes'!$A$1:$K$36,2,FALSE)</f>
        <v>F-Tu</v>
      </c>
      <c r="E165" s="51" t="str">
        <f>VLOOKUP(C165,'Shift Codes'!$A$1:$K$36,3,FALSE)</f>
        <v>NIT</v>
      </c>
    </row>
    <row r="166" spans="1:5" x14ac:dyDescent="0.35">
      <c r="A166" s="50">
        <v>202062363</v>
      </c>
      <c r="B166" t="s">
        <v>475</v>
      </c>
      <c r="C166" t="s">
        <v>450</v>
      </c>
      <c r="D166" s="51" t="str">
        <f>VLOOKUP(C166,'Shift Codes'!$A$1:$K$36,2,FALSE)</f>
        <v>F-Tu</v>
      </c>
      <c r="E166" s="51" t="str">
        <f>VLOOKUP(C166,'Shift Codes'!$A$1:$K$36,3,FALSE)</f>
        <v>NIT</v>
      </c>
    </row>
    <row r="167" spans="1:5" x14ac:dyDescent="0.35">
      <c r="A167" s="50">
        <v>201739104</v>
      </c>
      <c r="B167" t="s">
        <v>380</v>
      </c>
      <c r="C167" t="s">
        <v>450</v>
      </c>
      <c r="D167" s="51" t="str">
        <f>VLOOKUP(C167,'Shift Codes'!$A$1:$K$36,2,FALSE)</f>
        <v>F-Tu</v>
      </c>
      <c r="E167" s="51" t="str">
        <f>VLOOKUP(C167,'Shift Codes'!$A$1:$K$36,3,FALSE)</f>
        <v>NIT</v>
      </c>
    </row>
    <row r="168" spans="1:5" x14ac:dyDescent="0.35">
      <c r="A168" s="50">
        <v>201739104</v>
      </c>
      <c r="B168" t="s">
        <v>380</v>
      </c>
      <c r="C168" t="s">
        <v>450</v>
      </c>
      <c r="D168" s="51" t="str">
        <f>VLOOKUP(C168,'Shift Codes'!$A$1:$K$36,2,FALSE)</f>
        <v>F-Tu</v>
      </c>
      <c r="E168" s="51" t="str">
        <f>VLOOKUP(C168,'Shift Codes'!$A$1:$K$36,3,FALSE)</f>
        <v>NIT</v>
      </c>
    </row>
    <row r="169" spans="1:5" x14ac:dyDescent="0.35">
      <c r="A169" s="50">
        <v>201739104</v>
      </c>
      <c r="B169" t="s">
        <v>380</v>
      </c>
      <c r="C169" t="s">
        <v>450</v>
      </c>
      <c r="D169" s="51" t="str">
        <f>VLOOKUP(C169,'Shift Codes'!$A$1:$K$36,2,FALSE)</f>
        <v>F-Tu</v>
      </c>
      <c r="E169" s="51" t="str">
        <f>VLOOKUP(C169,'Shift Codes'!$A$1:$K$36,3,FALSE)</f>
        <v>NIT</v>
      </c>
    </row>
    <row r="170" spans="1:5" x14ac:dyDescent="0.35">
      <c r="A170" s="50">
        <v>200979608</v>
      </c>
      <c r="B170" t="s">
        <v>383</v>
      </c>
      <c r="C170" t="s">
        <v>450</v>
      </c>
      <c r="D170" s="51" t="str">
        <f>VLOOKUP(C170,'Shift Codes'!$A$1:$K$36,2,FALSE)</f>
        <v>F-Tu</v>
      </c>
      <c r="E170" s="51" t="str">
        <f>VLOOKUP(C170,'Shift Codes'!$A$1:$K$36,3,FALSE)</f>
        <v>NIT</v>
      </c>
    </row>
    <row r="171" spans="1:5" x14ac:dyDescent="0.35">
      <c r="A171" s="50">
        <v>200979608</v>
      </c>
      <c r="B171" t="s">
        <v>383</v>
      </c>
      <c r="C171" t="s">
        <v>450</v>
      </c>
      <c r="D171" s="51" t="str">
        <f>VLOOKUP(C171,'Shift Codes'!$A$1:$K$36,2,FALSE)</f>
        <v>F-Tu</v>
      </c>
      <c r="E171" s="51" t="str">
        <f>VLOOKUP(C171,'Shift Codes'!$A$1:$K$36,3,FALSE)</f>
        <v>NIT</v>
      </c>
    </row>
    <row r="172" spans="1:5" x14ac:dyDescent="0.35">
      <c r="A172" s="50">
        <v>200607142</v>
      </c>
      <c r="B172" t="s">
        <v>370</v>
      </c>
      <c r="C172" t="s">
        <v>450</v>
      </c>
      <c r="D172" s="51" t="str">
        <f>VLOOKUP(C172,'Shift Codes'!$A$1:$K$36,2,FALSE)</f>
        <v>F-Tu</v>
      </c>
      <c r="E172" s="51" t="str">
        <f>VLOOKUP(C172,'Shift Codes'!$A$1:$K$36,3,FALSE)</f>
        <v>NIT</v>
      </c>
    </row>
    <row r="173" spans="1:5" x14ac:dyDescent="0.35">
      <c r="A173" s="50">
        <v>200607142</v>
      </c>
      <c r="B173" t="s">
        <v>370</v>
      </c>
      <c r="C173" t="s">
        <v>450</v>
      </c>
      <c r="D173" s="51" t="str">
        <f>VLOOKUP(C173,'Shift Codes'!$A$1:$K$36,2,FALSE)</f>
        <v>F-Tu</v>
      </c>
      <c r="E173" s="51" t="str">
        <f>VLOOKUP(C173,'Shift Codes'!$A$1:$K$36,3,FALSE)</f>
        <v>NIT</v>
      </c>
    </row>
    <row r="174" spans="1:5" x14ac:dyDescent="0.35">
      <c r="A174" s="50">
        <v>200397334</v>
      </c>
      <c r="B174" t="s">
        <v>386</v>
      </c>
      <c r="C174" t="s">
        <v>450</v>
      </c>
      <c r="D174" s="51" t="str">
        <f>VLOOKUP(C174,'Shift Codes'!$A$1:$K$36,2,FALSE)</f>
        <v>F-Tu</v>
      </c>
      <c r="E174" s="51" t="str">
        <f>VLOOKUP(C174,'Shift Codes'!$A$1:$K$36,3,FALSE)</f>
        <v>NIT</v>
      </c>
    </row>
    <row r="175" spans="1:5" x14ac:dyDescent="0.35">
      <c r="A175" s="50">
        <v>200397334</v>
      </c>
      <c r="B175" t="s">
        <v>386</v>
      </c>
      <c r="C175" t="s">
        <v>450</v>
      </c>
      <c r="D175" s="51" t="str">
        <f>VLOOKUP(C175,'Shift Codes'!$A$1:$K$36,2,FALSE)</f>
        <v>F-Tu</v>
      </c>
      <c r="E175" s="51" t="str">
        <f>VLOOKUP(C175,'Shift Codes'!$A$1:$K$36,3,FALSE)</f>
        <v>NIT</v>
      </c>
    </row>
    <row r="176" spans="1:5" x14ac:dyDescent="0.35">
      <c r="A176" s="50">
        <v>109712922</v>
      </c>
      <c r="B176" t="s">
        <v>382</v>
      </c>
      <c r="C176" t="s">
        <v>450</v>
      </c>
      <c r="D176" s="51" t="str">
        <f>VLOOKUP(C176,'Shift Codes'!$A$1:$K$36,2,FALSE)</f>
        <v>F-Tu</v>
      </c>
      <c r="E176" s="51" t="str">
        <f>VLOOKUP(C176,'Shift Codes'!$A$1:$K$36,3,FALSE)</f>
        <v>NIT</v>
      </c>
    </row>
    <row r="177" spans="1:5" x14ac:dyDescent="0.35">
      <c r="A177" s="50">
        <v>109712922</v>
      </c>
      <c r="B177" t="s">
        <v>382</v>
      </c>
      <c r="C177" t="s">
        <v>450</v>
      </c>
      <c r="D177" s="51" t="str">
        <f>VLOOKUP(C177,'Shift Codes'!$A$1:$K$36,2,FALSE)</f>
        <v>F-Tu</v>
      </c>
      <c r="E177" s="51" t="str">
        <f>VLOOKUP(C177,'Shift Codes'!$A$1:$K$36,3,FALSE)</f>
        <v>NIT</v>
      </c>
    </row>
    <row r="178" spans="1:5" x14ac:dyDescent="0.35">
      <c r="A178" s="50">
        <v>204765650</v>
      </c>
      <c r="B178" t="s">
        <v>114</v>
      </c>
      <c r="C178" t="s">
        <v>115</v>
      </c>
      <c r="D178" s="51" t="str">
        <f>VLOOKUP(C178,'Shift Codes'!$A$1:$K$36,2,FALSE)</f>
        <v>Th-M</v>
      </c>
      <c r="E178" s="51" t="str">
        <f>VLOOKUP(C178,'Shift Codes'!$A$1:$K$36,3,FALSE)</f>
        <v>NIT</v>
      </c>
    </row>
    <row r="179" spans="1:5" x14ac:dyDescent="0.35">
      <c r="A179" s="50">
        <v>204765646</v>
      </c>
      <c r="B179" t="s">
        <v>116</v>
      </c>
      <c r="C179" t="s">
        <v>115</v>
      </c>
      <c r="D179" s="51" t="str">
        <f>VLOOKUP(C179,'Shift Codes'!$A$1:$K$36,2,FALSE)</f>
        <v>Th-M</v>
      </c>
      <c r="E179" s="51" t="str">
        <f>VLOOKUP(C179,'Shift Codes'!$A$1:$K$36,3,FALSE)</f>
        <v>NIT</v>
      </c>
    </row>
    <row r="180" spans="1:5" x14ac:dyDescent="0.35">
      <c r="A180" s="50">
        <v>204169741</v>
      </c>
      <c r="B180" t="s">
        <v>117</v>
      </c>
      <c r="C180" t="s">
        <v>115</v>
      </c>
      <c r="D180" s="51" t="str">
        <f>VLOOKUP(C180,'Shift Codes'!$A$1:$K$36,2,FALSE)</f>
        <v>Th-M</v>
      </c>
      <c r="E180" s="51" t="str">
        <f>VLOOKUP(C180,'Shift Codes'!$A$1:$K$36,3,FALSE)</f>
        <v>NIT</v>
      </c>
    </row>
    <row r="181" spans="1:5" x14ac:dyDescent="0.35">
      <c r="A181" s="50">
        <v>204169718</v>
      </c>
      <c r="B181" t="s">
        <v>118</v>
      </c>
      <c r="C181" t="s">
        <v>115</v>
      </c>
      <c r="D181" s="51" t="str">
        <f>VLOOKUP(C181,'Shift Codes'!$A$1:$K$36,2,FALSE)</f>
        <v>Th-M</v>
      </c>
      <c r="E181" s="51" t="str">
        <f>VLOOKUP(C181,'Shift Codes'!$A$1:$K$36,3,FALSE)</f>
        <v>NIT</v>
      </c>
    </row>
    <row r="182" spans="1:5" x14ac:dyDescent="0.35">
      <c r="A182" s="50">
        <v>203257191</v>
      </c>
      <c r="B182" t="s">
        <v>119</v>
      </c>
      <c r="C182" t="s">
        <v>115</v>
      </c>
      <c r="D182" s="51" t="str">
        <f>VLOOKUP(C182,'Shift Codes'!$A$1:$K$36,2,FALSE)</f>
        <v>Th-M</v>
      </c>
      <c r="E182" s="51" t="str">
        <f>VLOOKUP(C182,'Shift Codes'!$A$1:$K$36,3,FALSE)</f>
        <v>NIT</v>
      </c>
    </row>
    <row r="183" spans="1:5" x14ac:dyDescent="0.35">
      <c r="A183" s="50">
        <v>202708542</v>
      </c>
      <c r="B183" t="s">
        <v>123</v>
      </c>
      <c r="C183" t="s">
        <v>115</v>
      </c>
      <c r="D183" s="51" t="str">
        <f>VLOOKUP(C183,'Shift Codes'!$A$1:$K$36,2,FALSE)</f>
        <v>Th-M</v>
      </c>
      <c r="E183" s="51" t="str">
        <f>VLOOKUP(C183,'Shift Codes'!$A$1:$K$36,3,FALSE)</f>
        <v>NIT</v>
      </c>
    </row>
    <row r="184" spans="1:5" x14ac:dyDescent="0.35">
      <c r="A184" s="50">
        <v>201669588</v>
      </c>
      <c r="B184" t="s">
        <v>124</v>
      </c>
      <c r="C184" t="s">
        <v>115</v>
      </c>
      <c r="D184" s="51" t="str">
        <f>VLOOKUP(C184,'Shift Codes'!$A$1:$K$36,2,FALSE)</f>
        <v>Th-M</v>
      </c>
      <c r="E184" s="51" t="str">
        <f>VLOOKUP(C184,'Shift Codes'!$A$1:$K$36,3,FALSE)</f>
        <v>NIT</v>
      </c>
    </row>
    <row r="185" spans="1:5" x14ac:dyDescent="0.35">
      <c r="A185" s="50">
        <v>110307313</v>
      </c>
      <c r="B185" t="s">
        <v>125</v>
      </c>
      <c r="C185" t="s">
        <v>115</v>
      </c>
      <c r="D185" s="51" t="str">
        <f>VLOOKUP(C185,'Shift Codes'!$A$1:$K$36,2,FALSE)</f>
        <v>Th-M</v>
      </c>
      <c r="E185" s="51" t="str">
        <f>VLOOKUP(C185,'Shift Codes'!$A$1:$K$36,3,FALSE)</f>
        <v>NIT</v>
      </c>
    </row>
    <row r="186" spans="1:5" x14ac:dyDescent="0.35">
      <c r="A186" s="50">
        <v>104198576</v>
      </c>
      <c r="B186" t="s">
        <v>126</v>
      </c>
      <c r="C186" t="s">
        <v>115</v>
      </c>
      <c r="D186" s="51" t="str">
        <f>VLOOKUP(C186,'Shift Codes'!$A$1:$K$36,2,FALSE)</f>
        <v>Th-M</v>
      </c>
      <c r="E186" s="51" t="str">
        <f>VLOOKUP(C186,'Shift Codes'!$A$1:$K$36,3,FALSE)</f>
        <v>NIT</v>
      </c>
    </row>
    <row r="187" spans="1:5" x14ac:dyDescent="0.35">
      <c r="A187" s="50">
        <v>204169739</v>
      </c>
      <c r="B187" t="s">
        <v>519</v>
      </c>
      <c r="C187" t="s">
        <v>430</v>
      </c>
      <c r="D187" s="51" t="str">
        <f>VLOOKUP(C187,'Shift Codes'!$A$1:$K$36,2,FALSE)</f>
        <v>Su-Th</v>
      </c>
      <c r="E187" s="51" t="str">
        <f>VLOOKUP(C187,'Shift Codes'!$A$1:$K$36,3,FALSE)</f>
        <v>DAY</v>
      </c>
    </row>
    <row r="188" spans="1:5" x14ac:dyDescent="0.35">
      <c r="A188" s="50">
        <v>203938092</v>
      </c>
      <c r="B188" t="s">
        <v>461</v>
      </c>
      <c r="C188" t="s">
        <v>430</v>
      </c>
      <c r="D188" s="51" t="str">
        <f>VLOOKUP(C188,'Shift Codes'!$A$1:$K$36,2,FALSE)</f>
        <v>Su-Th</v>
      </c>
      <c r="E188" s="51" t="str">
        <f>VLOOKUP(C188,'Shift Codes'!$A$1:$K$36,3,FALSE)</f>
        <v>DAY</v>
      </c>
    </row>
    <row r="189" spans="1:5" x14ac:dyDescent="0.35">
      <c r="A189" s="50">
        <v>203577180</v>
      </c>
      <c r="B189" t="s">
        <v>534</v>
      </c>
      <c r="C189" t="s">
        <v>430</v>
      </c>
      <c r="D189" s="51" t="str">
        <f>VLOOKUP(C189,'Shift Codes'!$A$1:$K$36,2,FALSE)</f>
        <v>Su-Th</v>
      </c>
      <c r="E189" s="51" t="str">
        <f>VLOOKUP(C189,'Shift Codes'!$A$1:$K$36,3,FALSE)</f>
        <v>DAY</v>
      </c>
    </row>
    <row r="190" spans="1:5" x14ac:dyDescent="0.35">
      <c r="A190" s="50">
        <v>203223200</v>
      </c>
      <c r="B190" t="s">
        <v>245</v>
      </c>
      <c r="C190" t="s">
        <v>430</v>
      </c>
      <c r="D190" s="51" t="str">
        <f>VLOOKUP(C190,'Shift Codes'!$A$1:$K$36,2,FALSE)</f>
        <v>Su-Th</v>
      </c>
      <c r="E190" s="51" t="str">
        <f>VLOOKUP(C190,'Shift Codes'!$A$1:$K$36,3,FALSE)</f>
        <v>DAY</v>
      </c>
    </row>
    <row r="191" spans="1:5" x14ac:dyDescent="0.35">
      <c r="A191" s="50">
        <v>202630694</v>
      </c>
      <c r="B191" t="s">
        <v>237</v>
      </c>
      <c r="C191" t="s">
        <v>430</v>
      </c>
      <c r="D191" s="51" t="str">
        <f>VLOOKUP(C191,'Shift Codes'!$A$1:$K$36,2,FALSE)</f>
        <v>Su-Th</v>
      </c>
      <c r="E191" s="51" t="str">
        <f>VLOOKUP(C191,'Shift Codes'!$A$1:$K$36,3,FALSE)</f>
        <v>DAY</v>
      </c>
    </row>
    <row r="192" spans="1:5" x14ac:dyDescent="0.35">
      <c r="A192" s="50">
        <v>202603792</v>
      </c>
      <c r="B192" t="s">
        <v>544</v>
      </c>
      <c r="C192" t="s">
        <v>430</v>
      </c>
      <c r="D192" s="51" t="str">
        <f>VLOOKUP(C192,'Shift Codes'!$A$1:$K$36,2,FALSE)</f>
        <v>Su-Th</v>
      </c>
      <c r="E192" s="51" t="str">
        <f>VLOOKUP(C192,'Shift Codes'!$A$1:$K$36,3,FALSE)</f>
        <v>DAY</v>
      </c>
    </row>
    <row r="193" spans="1:5" x14ac:dyDescent="0.35">
      <c r="A193" s="50">
        <v>202175972</v>
      </c>
      <c r="B193" t="s">
        <v>219</v>
      </c>
      <c r="C193" t="s">
        <v>430</v>
      </c>
      <c r="D193" s="51" t="str">
        <f>VLOOKUP(C193,'Shift Codes'!$A$1:$K$36,2,FALSE)</f>
        <v>Su-Th</v>
      </c>
      <c r="E193" s="51" t="str">
        <f>VLOOKUP(C193,'Shift Codes'!$A$1:$K$36,3,FALSE)</f>
        <v>DAY</v>
      </c>
    </row>
    <row r="194" spans="1:5" x14ac:dyDescent="0.35">
      <c r="A194" s="50">
        <v>201640435</v>
      </c>
      <c r="B194" t="s">
        <v>512</v>
      </c>
      <c r="C194" t="s">
        <v>430</v>
      </c>
      <c r="D194" s="51" t="str">
        <f>VLOOKUP(C194,'Shift Codes'!$A$1:$K$36,2,FALSE)</f>
        <v>Su-Th</v>
      </c>
      <c r="E194" s="51" t="str">
        <f>VLOOKUP(C194,'Shift Codes'!$A$1:$K$36,3,FALSE)</f>
        <v>DAY</v>
      </c>
    </row>
    <row r="195" spans="1:5" x14ac:dyDescent="0.35">
      <c r="A195" s="50">
        <v>201033503</v>
      </c>
      <c r="B195" t="s">
        <v>247</v>
      </c>
      <c r="C195" t="s">
        <v>430</v>
      </c>
      <c r="D195" s="51" t="str">
        <f>VLOOKUP(C195,'Shift Codes'!$A$1:$K$36,2,FALSE)</f>
        <v>Su-Th</v>
      </c>
      <c r="E195" s="51" t="str">
        <f>VLOOKUP(C195,'Shift Codes'!$A$1:$K$36,3,FALSE)</f>
        <v>DAY</v>
      </c>
    </row>
    <row r="196" spans="1:5" x14ac:dyDescent="0.35">
      <c r="A196" s="50">
        <v>200978372</v>
      </c>
      <c r="B196" t="s">
        <v>466</v>
      </c>
      <c r="C196" t="s">
        <v>430</v>
      </c>
      <c r="D196" s="51" t="str">
        <f>VLOOKUP(C196,'Shift Codes'!$A$1:$K$36,2,FALSE)</f>
        <v>Su-Th</v>
      </c>
      <c r="E196" s="51" t="str">
        <f>VLOOKUP(C196,'Shift Codes'!$A$1:$K$36,3,FALSE)</f>
        <v>DAY</v>
      </c>
    </row>
    <row r="197" spans="1:5" x14ac:dyDescent="0.35">
      <c r="A197" s="50">
        <v>200968697</v>
      </c>
      <c r="B197" t="s">
        <v>264</v>
      </c>
      <c r="C197" t="s">
        <v>430</v>
      </c>
      <c r="D197" s="51" t="str">
        <f>VLOOKUP(C197,'Shift Codes'!$A$1:$K$36,2,FALSE)</f>
        <v>Su-Th</v>
      </c>
      <c r="E197" s="51" t="str">
        <f>VLOOKUP(C197,'Shift Codes'!$A$1:$K$36,3,FALSE)</f>
        <v>DAY</v>
      </c>
    </row>
    <row r="198" spans="1:5" x14ac:dyDescent="0.35">
      <c r="A198" s="50">
        <v>200705567</v>
      </c>
      <c r="B198" t="s">
        <v>227</v>
      </c>
      <c r="C198" t="s">
        <v>430</v>
      </c>
      <c r="D198" s="51" t="str">
        <f>VLOOKUP(C198,'Shift Codes'!$A$1:$K$36,2,FALSE)</f>
        <v>Su-Th</v>
      </c>
      <c r="E198" s="51" t="str">
        <f>VLOOKUP(C198,'Shift Codes'!$A$1:$K$36,3,FALSE)</f>
        <v>DAY</v>
      </c>
    </row>
    <row r="199" spans="1:5" x14ac:dyDescent="0.35">
      <c r="A199" s="50">
        <v>111287342</v>
      </c>
      <c r="B199" t="s">
        <v>278</v>
      </c>
      <c r="C199" t="s">
        <v>430</v>
      </c>
      <c r="D199" s="51" t="str">
        <f>VLOOKUP(C199,'Shift Codes'!$A$1:$K$36,2,FALSE)</f>
        <v>Su-Th</v>
      </c>
      <c r="E199" s="51" t="str">
        <f>VLOOKUP(C199,'Shift Codes'!$A$1:$K$36,3,FALSE)</f>
        <v>DAY</v>
      </c>
    </row>
    <row r="200" spans="1:5" x14ac:dyDescent="0.35">
      <c r="A200" s="50">
        <v>111018903</v>
      </c>
      <c r="B200" t="s">
        <v>240</v>
      </c>
      <c r="C200" t="s">
        <v>430</v>
      </c>
      <c r="D200" s="51" t="str">
        <f>VLOOKUP(C200,'Shift Codes'!$A$1:$K$36,2,FALSE)</f>
        <v>Su-Th</v>
      </c>
      <c r="E200" s="51" t="str">
        <f>VLOOKUP(C200,'Shift Codes'!$A$1:$K$36,3,FALSE)</f>
        <v>DAY</v>
      </c>
    </row>
    <row r="201" spans="1:5" x14ac:dyDescent="0.35">
      <c r="A201" s="50">
        <v>110932529</v>
      </c>
      <c r="B201" t="s">
        <v>260</v>
      </c>
      <c r="C201" t="s">
        <v>430</v>
      </c>
      <c r="D201" s="51" t="str">
        <f>VLOOKUP(C201,'Shift Codes'!$A$1:$K$36,2,FALSE)</f>
        <v>Su-Th</v>
      </c>
      <c r="E201" s="51" t="str">
        <f>VLOOKUP(C201,'Shift Codes'!$A$1:$K$36,3,FALSE)</f>
        <v>DAY</v>
      </c>
    </row>
    <row r="202" spans="1:5" x14ac:dyDescent="0.35">
      <c r="A202" s="50">
        <v>110658084</v>
      </c>
      <c r="B202" t="s">
        <v>250</v>
      </c>
      <c r="C202" t="s">
        <v>430</v>
      </c>
      <c r="D202" s="51" t="str">
        <f>VLOOKUP(C202,'Shift Codes'!$A$1:$K$36,2,FALSE)</f>
        <v>Su-Th</v>
      </c>
      <c r="E202" s="51" t="str">
        <f>VLOOKUP(C202,'Shift Codes'!$A$1:$K$36,3,FALSE)</f>
        <v>DAY</v>
      </c>
    </row>
    <row r="203" spans="1:5" x14ac:dyDescent="0.35">
      <c r="A203" s="50">
        <v>108086166</v>
      </c>
      <c r="B203" t="s">
        <v>222</v>
      </c>
      <c r="C203" t="s">
        <v>430</v>
      </c>
      <c r="D203" s="51" t="str">
        <f>VLOOKUP(C203,'Shift Codes'!$A$1:$K$36,2,FALSE)</f>
        <v>Su-Th</v>
      </c>
      <c r="E203" s="51" t="str">
        <f>VLOOKUP(C203,'Shift Codes'!$A$1:$K$36,3,FALSE)</f>
        <v>DAY</v>
      </c>
    </row>
    <row r="204" spans="1:5" x14ac:dyDescent="0.35">
      <c r="A204" s="50">
        <v>105510267</v>
      </c>
      <c r="B204" t="s">
        <v>523</v>
      </c>
      <c r="C204" t="s">
        <v>430</v>
      </c>
      <c r="D204" s="51" t="str">
        <f>VLOOKUP(C204,'Shift Codes'!$A$1:$K$36,2,FALSE)</f>
        <v>Su-Th</v>
      </c>
      <c r="E204" s="51" t="str">
        <f>VLOOKUP(C204,'Shift Codes'!$A$1:$K$36,3,FALSE)</f>
        <v>DAY</v>
      </c>
    </row>
    <row r="205" spans="1:5" x14ac:dyDescent="0.35">
      <c r="A205" s="50">
        <v>100886531</v>
      </c>
      <c r="B205" t="s">
        <v>228</v>
      </c>
      <c r="C205" t="s">
        <v>430</v>
      </c>
      <c r="D205" s="51" t="str">
        <f>VLOOKUP(C205,'Shift Codes'!$A$1:$K$36,2,FALSE)</f>
        <v>Su-Th</v>
      </c>
      <c r="E205" s="51" t="str">
        <f>VLOOKUP(C205,'Shift Codes'!$A$1:$K$36,3,FALSE)</f>
        <v>DAY</v>
      </c>
    </row>
    <row r="206" spans="1:5" x14ac:dyDescent="0.35">
      <c r="A206" s="50">
        <v>203552323</v>
      </c>
      <c r="B206" t="s">
        <v>549</v>
      </c>
      <c r="C206" t="s">
        <v>432</v>
      </c>
      <c r="D206" s="51" t="str">
        <f>VLOOKUP(C206,'Shift Codes'!$A$1:$K$36,2,FALSE)</f>
        <v>M-F</v>
      </c>
      <c r="E206" s="51" t="str">
        <f>VLOOKUP(C206,'Shift Codes'!$A$1:$K$36,3,FALSE)</f>
        <v>DAY</v>
      </c>
    </row>
    <row r="207" spans="1:5" x14ac:dyDescent="0.35">
      <c r="A207" s="50">
        <v>202005530</v>
      </c>
      <c r="B207" t="s">
        <v>226</v>
      </c>
      <c r="C207" t="s">
        <v>432</v>
      </c>
      <c r="D207" s="51" t="str">
        <f>VLOOKUP(C207,'Shift Codes'!$A$1:$K$36,2,FALSE)</f>
        <v>M-F</v>
      </c>
      <c r="E207" s="51" t="str">
        <f>VLOOKUP(C207,'Shift Codes'!$A$1:$K$36,3,FALSE)</f>
        <v>DAY</v>
      </c>
    </row>
    <row r="208" spans="1:5" x14ac:dyDescent="0.35">
      <c r="A208" s="50">
        <v>201755216</v>
      </c>
      <c r="B208" t="s">
        <v>208</v>
      </c>
      <c r="C208" t="s">
        <v>432</v>
      </c>
      <c r="D208" s="51" t="str">
        <f>VLOOKUP(C208,'Shift Codes'!$A$1:$K$36,2,FALSE)</f>
        <v>M-F</v>
      </c>
      <c r="E208" s="51" t="str">
        <f>VLOOKUP(C208,'Shift Codes'!$A$1:$K$36,3,FALSE)</f>
        <v>DAY</v>
      </c>
    </row>
    <row r="209" spans="1:5" x14ac:dyDescent="0.35">
      <c r="A209" s="50">
        <v>201632841</v>
      </c>
      <c r="B209" t="s">
        <v>479</v>
      </c>
      <c r="C209" t="s">
        <v>432</v>
      </c>
      <c r="D209" s="51" t="str">
        <f>VLOOKUP(C209,'Shift Codes'!$A$1:$K$36,2,FALSE)</f>
        <v>M-F</v>
      </c>
      <c r="E209" s="51" t="str">
        <f>VLOOKUP(C209,'Shift Codes'!$A$1:$K$36,3,FALSE)</f>
        <v>DAY</v>
      </c>
    </row>
    <row r="210" spans="1:5" x14ac:dyDescent="0.35">
      <c r="A210" s="50">
        <v>200973284</v>
      </c>
      <c r="B210" t="s">
        <v>216</v>
      </c>
      <c r="C210" t="s">
        <v>432</v>
      </c>
      <c r="D210" s="51" t="str">
        <f>VLOOKUP(C210,'Shift Codes'!$A$1:$K$36,2,FALSE)</f>
        <v>M-F</v>
      </c>
      <c r="E210" s="51" t="str">
        <f>VLOOKUP(C210,'Shift Codes'!$A$1:$K$36,3,FALSE)</f>
        <v>DAY</v>
      </c>
    </row>
    <row r="211" spans="1:5" x14ac:dyDescent="0.35">
      <c r="A211" s="50">
        <v>200734161</v>
      </c>
      <c r="B211" t="s">
        <v>217</v>
      </c>
      <c r="C211" t="s">
        <v>432</v>
      </c>
      <c r="D211" s="51" t="str">
        <f>VLOOKUP(C211,'Shift Codes'!$A$1:$K$36,2,FALSE)</f>
        <v>M-F</v>
      </c>
      <c r="E211" s="51" t="str">
        <f>VLOOKUP(C211,'Shift Codes'!$A$1:$K$36,3,FALSE)</f>
        <v>DAY</v>
      </c>
    </row>
    <row r="212" spans="1:5" x14ac:dyDescent="0.35">
      <c r="A212" s="50">
        <v>200521245</v>
      </c>
      <c r="B212" t="s">
        <v>214</v>
      </c>
      <c r="C212" t="s">
        <v>432</v>
      </c>
      <c r="D212" s="51" t="str">
        <f>VLOOKUP(C212,'Shift Codes'!$A$1:$K$36,2,FALSE)</f>
        <v>M-F</v>
      </c>
      <c r="E212" s="51" t="str">
        <f>VLOOKUP(C212,'Shift Codes'!$A$1:$K$36,3,FALSE)</f>
        <v>DAY</v>
      </c>
    </row>
    <row r="213" spans="1:5" x14ac:dyDescent="0.35">
      <c r="A213" s="50">
        <v>200429067</v>
      </c>
      <c r="B213" t="s">
        <v>518</v>
      </c>
      <c r="C213" t="s">
        <v>432</v>
      </c>
      <c r="D213" s="51" t="str">
        <f>VLOOKUP(C213,'Shift Codes'!$A$1:$K$36,2,FALSE)</f>
        <v>M-F</v>
      </c>
      <c r="E213" s="51" t="str">
        <f>VLOOKUP(C213,'Shift Codes'!$A$1:$K$36,3,FALSE)</f>
        <v>DAY</v>
      </c>
    </row>
    <row r="214" spans="1:5" x14ac:dyDescent="0.35">
      <c r="A214" s="50">
        <v>111862455</v>
      </c>
      <c r="B214" t="s">
        <v>230</v>
      </c>
      <c r="C214" t="s">
        <v>432</v>
      </c>
      <c r="D214" s="51" t="str">
        <f>VLOOKUP(C214,'Shift Codes'!$A$1:$K$36,2,FALSE)</f>
        <v>M-F</v>
      </c>
      <c r="E214" s="51" t="str">
        <f>VLOOKUP(C214,'Shift Codes'!$A$1:$K$36,3,FALSE)</f>
        <v>DAY</v>
      </c>
    </row>
    <row r="215" spans="1:5" x14ac:dyDescent="0.35">
      <c r="A215" s="50">
        <v>111740211</v>
      </c>
      <c r="B215" t="s">
        <v>225</v>
      </c>
      <c r="C215" t="s">
        <v>432</v>
      </c>
      <c r="D215" s="51" t="str">
        <f>VLOOKUP(C215,'Shift Codes'!$A$1:$K$36,2,FALSE)</f>
        <v>M-F</v>
      </c>
      <c r="E215" s="51" t="str">
        <f>VLOOKUP(C215,'Shift Codes'!$A$1:$K$36,3,FALSE)</f>
        <v>DAY</v>
      </c>
    </row>
    <row r="216" spans="1:5" x14ac:dyDescent="0.35">
      <c r="A216" s="50">
        <v>111740199</v>
      </c>
      <c r="B216" t="s">
        <v>242</v>
      </c>
      <c r="C216" t="s">
        <v>432</v>
      </c>
      <c r="D216" s="51" t="str">
        <f>VLOOKUP(C216,'Shift Codes'!$A$1:$K$36,2,FALSE)</f>
        <v>M-F</v>
      </c>
      <c r="E216" s="51" t="str">
        <f>VLOOKUP(C216,'Shift Codes'!$A$1:$K$36,3,FALSE)</f>
        <v>DAY</v>
      </c>
    </row>
    <row r="217" spans="1:5" x14ac:dyDescent="0.35">
      <c r="A217" s="50">
        <v>111514765</v>
      </c>
      <c r="B217" t="s">
        <v>212</v>
      </c>
      <c r="C217" t="s">
        <v>432</v>
      </c>
      <c r="D217" s="51" t="str">
        <f>VLOOKUP(C217,'Shift Codes'!$A$1:$K$36,2,FALSE)</f>
        <v>M-F</v>
      </c>
      <c r="E217" s="51" t="str">
        <f>VLOOKUP(C217,'Shift Codes'!$A$1:$K$36,3,FALSE)</f>
        <v>DAY</v>
      </c>
    </row>
    <row r="218" spans="1:5" x14ac:dyDescent="0.35">
      <c r="A218" s="50">
        <v>111374028</v>
      </c>
      <c r="B218" t="s">
        <v>235</v>
      </c>
      <c r="C218" t="s">
        <v>432</v>
      </c>
      <c r="D218" s="51" t="str">
        <f>VLOOKUP(C218,'Shift Codes'!$A$1:$K$36,2,FALSE)</f>
        <v>M-F</v>
      </c>
      <c r="E218" s="51" t="str">
        <f>VLOOKUP(C218,'Shift Codes'!$A$1:$K$36,3,FALSE)</f>
        <v>DAY</v>
      </c>
    </row>
    <row r="219" spans="1:5" x14ac:dyDescent="0.35">
      <c r="A219" s="50">
        <v>110742132</v>
      </c>
      <c r="B219" t="s">
        <v>511</v>
      </c>
      <c r="C219" t="s">
        <v>432</v>
      </c>
      <c r="D219" s="51" t="str">
        <f>VLOOKUP(C219,'Shift Codes'!$A$1:$K$36,2,FALSE)</f>
        <v>M-F</v>
      </c>
      <c r="E219" s="51" t="str">
        <f>VLOOKUP(C219,'Shift Codes'!$A$1:$K$36,3,FALSE)</f>
        <v>DAY</v>
      </c>
    </row>
    <row r="220" spans="1:5" x14ac:dyDescent="0.35">
      <c r="A220" s="50">
        <v>105409439</v>
      </c>
      <c r="B220" t="s">
        <v>238</v>
      </c>
      <c r="C220" t="s">
        <v>432</v>
      </c>
      <c r="D220" s="51" t="str">
        <f>VLOOKUP(C220,'Shift Codes'!$A$1:$K$36,2,FALSE)</f>
        <v>M-F</v>
      </c>
      <c r="E220" s="51" t="str">
        <f>VLOOKUP(C220,'Shift Codes'!$A$1:$K$36,3,FALSE)</f>
        <v>DAY</v>
      </c>
    </row>
    <row r="221" spans="1:5" x14ac:dyDescent="0.35">
      <c r="A221" s="50">
        <v>105328144</v>
      </c>
      <c r="B221" t="s">
        <v>284</v>
      </c>
      <c r="C221" t="s">
        <v>432</v>
      </c>
      <c r="D221" s="51" t="str">
        <f>VLOOKUP(C221,'Shift Codes'!$A$1:$K$36,2,FALSE)</f>
        <v>M-F</v>
      </c>
      <c r="E221" s="51" t="str">
        <f>VLOOKUP(C221,'Shift Codes'!$A$1:$K$36,3,FALSE)</f>
        <v>DAY</v>
      </c>
    </row>
    <row r="222" spans="1:5" x14ac:dyDescent="0.35">
      <c r="A222" s="50">
        <v>101752871</v>
      </c>
      <c r="B222" t="s">
        <v>243</v>
      </c>
      <c r="C222" t="s">
        <v>432</v>
      </c>
      <c r="D222" s="51" t="str">
        <f>VLOOKUP(C222,'Shift Codes'!$A$1:$K$36,2,FALSE)</f>
        <v>M-F</v>
      </c>
      <c r="E222" s="51" t="str">
        <f>VLOOKUP(C222,'Shift Codes'!$A$1:$K$36,3,FALSE)</f>
        <v>DAY</v>
      </c>
    </row>
    <row r="223" spans="1:5" x14ac:dyDescent="0.35">
      <c r="A223" s="50">
        <v>202785307</v>
      </c>
      <c r="B223" t="s">
        <v>246</v>
      </c>
      <c r="C223" t="s">
        <v>433</v>
      </c>
      <c r="D223" s="51" t="str">
        <f>VLOOKUP(C223,'Shift Codes'!$A$1:$K$36,2,FALSE)</f>
        <v>Tu-Sa</v>
      </c>
      <c r="E223" s="51" t="str">
        <f>VLOOKUP(C223,'Shift Codes'!$A$1:$K$36,3,FALSE)</f>
        <v>DAY</v>
      </c>
    </row>
    <row r="224" spans="1:5" x14ac:dyDescent="0.35">
      <c r="A224" s="50">
        <v>202603806</v>
      </c>
      <c r="B224" t="s">
        <v>570</v>
      </c>
      <c r="C224" t="s">
        <v>433</v>
      </c>
      <c r="D224" s="51" t="str">
        <f>VLOOKUP(C224,'Shift Codes'!$A$1:$K$36,2,FALSE)</f>
        <v>Tu-Sa</v>
      </c>
      <c r="E224" s="51" t="str">
        <f>VLOOKUP(C224,'Shift Codes'!$A$1:$K$36,3,FALSE)</f>
        <v>DAY</v>
      </c>
    </row>
    <row r="225" spans="1:5" x14ac:dyDescent="0.35">
      <c r="A225" s="50">
        <v>202140129</v>
      </c>
      <c r="B225" t="s">
        <v>213</v>
      </c>
      <c r="C225" t="s">
        <v>433</v>
      </c>
      <c r="D225" s="51" t="str">
        <f>VLOOKUP(C225,'Shift Codes'!$A$1:$K$36,2,FALSE)</f>
        <v>Tu-Sa</v>
      </c>
      <c r="E225" s="51" t="str">
        <f>VLOOKUP(C225,'Shift Codes'!$A$1:$K$36,3,FALSE)</f>
        <v>DAY</v>
      </c>
    </row>
    <row r="226" spans="1:5" x14ac:dyDescent="0.35">
      <c r="A226" s="50">
        <v>202136928</v>
      </c>
      <c r="B226" t="s">
        <v>248</v>
      </c>
      <c r="C226" t="s">
        <v>433</v>
      </c>
      <c r="D226" s="51" t="str">
        <f>VLOOKUP(C226,'Shift Codes'!$A$1:$K$36,2,FALSE)</f>
        <v>Tu-Sa</v>
      </c>
      <c r="E226" s="51" t="str">
        <f>VLOOKUP(C226,'Shift Codes'!$A$1:$K$36,3,FALSE)</f>
        <v>DAY</v>
      </c>
    </row>
    <row r="227" spans="1:5" x14ac:dyDescent="0.35">
      <c r="A227" s="50">
        <v>201757653</v>
      </c>
      <c r="B227" t="s">
        <v>232</v>
      </c>
      <c r="C227" t="s">
        <v>433</v>
      </c>
      <c r="D227" s="51" t="str">
        <f>VLOOKUP(C227,'Shift Codes'!$A$1:$K$36,2,FALSE)</f>
        <v>Tu-Sa</v>
      </c>
      <c r="E227" s="51" t="str">
        <f>VLOOKUP(C227,'Shift Codes'!$A$1:$K$36,3,FALSE)</f>
        <v>DAY</v>
      </c>
    </row>
    <row r="228" spans="1:5" x14ac:dyDescent="0.35">
      <c r="A228" s="50">
        <v>201752433</v>
      </c>
      <c r="B228" t="s">
        <v>254</v>
      </c>
      <c r="C228" t="s">
        <v>433</v>
      </c>
      <c r="D228" s="51" t="str">
        <f>VLOOKUP(C228,'Shift Codes'!$A$1:$K$36,2,FALSE)</f>
        <v>Tu-Sa</v>
      </c>
      <c r="E228" s="51" t="str">
        <f>VLOOKUP(C228,'Shift Codes'!$A$1:$K$36,3,FALSE)</f>
        <v>DAY</v>
      </c>
    </row>
    <row r="229" spans="1:5" x14ac:dyDescent="0.35">
      <c r="A229" s="50">
        <v>201023143</v>
      </c>
      <c r="B229" t="s">
        <v>285</v>
      </c>
      <c r="C229" t="s">
        <v>433</v>
      </c>
      <c r="D229" s="51" t="str">
        <f>VLOOKUP(C229,'Shift Codes'!$A$1:$K$36,2,FALSE)</f>
        <v>Tu-Sa</v>
      </c>
      <c r="E229" s="51" t="str">
        <f>VLOOKUP(C229,'Shift Codes'!$A$1:$K$36,3,FALSE)</f>
        <v>DAY</v>
      </c>
    </row>
    <row r="230" spans="1:5" x14ac:dyDescent="0.35">
      <c r="A230" s="50">
        <v>200987927</v>
      </c>
      <c r="B230" t="s">
        <v>244</v>
      </c>
      <c r="C230" t="s">
        <v>433</v>
      </c>
      <c r="D230" s="51" t="str">
        <f>VLOOKUP(C230,'Shift Codes'!$A$1:$K$36,2,FALSE)</f>
        <v>Tu-Sa</v>
      </c>
      <c r="E230" s="51" t="str">
        <f>VLOOKUP(C230,'Shift Codes'!$A$1:$K$36,3,FALSE)</f>
        <v>DAY</v>
      </c>
    </row>
    <row r="231" spans="1:5" x14ac:dyDescent="0.35">
      <c r="A231" s="50">
        <v>200771525</v>
      </c>
      <c r="B231" t="s">
        <v>218</v>
      </c>
      <c r="C231" t="s">
        <v>433</v>
      </c>
      <c r="D231" s="51" t="str">
        <f>VLOOKUP(C231,'Shift Codes'!$A$1:$K$36,2,FALSE)</f>
        <v>Tu-Sa</v>
      </c>
      <c r="E231" s="51" t="str">
        <f>VLOOKUP(C231,'Shift Codes'!$A$1:$K$36,3,FALSE)</f>
        <v>DAY</v>
      </c>
    </row>
    <row r="232" spans="1:5" x14ac:dyDescent="0.35">
      <c r="A232" s="50">
        <v>112902694</v>
      </c>
      <c r="B232" t="s">
        <v>559</v>
      </c>
      <c r="C232" t="s">
        <v>433</v>
      </c>
      <c r="D232" s="51" t="str">
        <f>VLOOKUP(C232,'Shift Codes'!$A$1:$K$36,2,FALSE)</f>
        <v>Tu-Sa</v>
      </c>
      <c r="E232" s="51" t="str">
        <f>VLOOKUP(C232,'Shift Codes'!$A$1:$K$36,3,FALSE)</f>
        <v>DAY</v>
      </c>
    </row>
    <row r="233" spans="1:5" x14ac:dyDescent="0.35">
      <c r="A233" s="50">
        <v>111792863</v>
      </c>
      <c r="B233" t="s">
        <v>271</v>
      </c>
      <c r="C233" t="s">
        <v>433</v>
      </c>
      <c r="D233" s="51" t="str">
        <f>VLOOKUP(C233,'Shift Codes'!$A$1:$K$36,2,FALSE)</f>
        <v>Tu-Sa</v>
      </c>
      <c r="E233" s="51" t="str">
        <f>VLOOKUP(C233,'Shift Codes'!$A$1:$K$36,3,FALSE)</f>
        <v>DAY</v>
      </c>
    </row>
    <row r="234" spans="1:5" x14ac:dyDescent="0.35">
      <c r="A234" s="50">
        <v>111540506</v>
      </c>
      <c r="B234" t="s">
        <v>265</v>
      </c>
      <c r="C234" t="s">
        <v>433</v>
      </c>
      <c r="D234" s="51" t="str">
        <f>VLOOKUP(C234,'Shift Codes'!$A$1:$K$36,2,FALSE)</f>
        <v>Tu-Sa</v>
      </c>
      <c r="E234" s="51" t="str">
        <f>VLOOKUP(C234,'Shift Codes'!$A$1:$K$36,3,FALSE)</f>
        <v>DAY</v>
      </c>
    </row>
    <row r="235" spans="1:5" x14ac:dyDescent="0.35">
      <c r="A235" s="50">
        <v>109354949</v>
      </c>
      <c r="B235" t="s">
        <v>258</v>
      </c>
      <c r="C235" t="s">
        <v>433</v>
      </c>
      <c r="D235" s="51" t="str">
        <f>VLOOKUP(C235,'Shift Codes'!$A$1:$K$36,2,FALSE)</f>
        <v>Tu-Sa</v>
      </c>
      <c r="E235" s="51" t="str">
        <f>VLOOKUP(C235,'Shift Codes'!$A$1:$K$36,3,FALSE)</f>
        <v>DAY</v>
      </c>
    </row>
    <row r="236" spans="1:5" x14ac:dyDescent="0.35">
      <c r="A236" s="50">
        <v>106290534</v>
      </c>
      <c r="B236" t="s">
        <v>223</v>
      </c>
      <c r="C236" t="s">
        <v>433</v>
      </c>
      <c r="D236" s="51" t="str">
        <f>VLOOKUP(C236,'Shift Codes'!$A$1:$K$36,2,FALSE)</f>
        <v>Tu-Sa</v>
      </c>
      <c r="E236" s="51" t="str">
        <f>VLOOKUP(C236,'Shift Codes'!$A$1:$K$36,3,FALSE)</f>
        <v>DAY</v>
      </c>
    </row>
    <row r="237" spans="1:5" x14ac:dyDescent="0.35">
      <c r="A237" s="50">
        <v>105793876</v>
      </c>
      <c r="B237" t="s">
        <v>277</v>
      </c>
      <c r="C237" t="s">
        <v>433</v>
      </c>
      <c r="D237" s="51" t="str">
        <f>VLOOKUP(C237,'Shift Codes'!$A$1:$K$36,2,FALSE)</f>
        <v>Tu-Sa</v>
      </c>
      <c r="E237" s="51" t="str">
        <f>VLOOKUP(C237,'Shift Codes'!$A$1:$K$36,3,FALSE)</f>
        <v>DAY</v>
      </c>
    </row>
    <row r="238" spans="1:5" x14ac:dyDescent="0.35">
      <c r="A238" s="50">
        <v>100516903</v>
      </c>
      <c r="B238" t="s">
        <v>568</v>
      </c>
      <c r="C238" t="s">
        <v>433</v>
      </c>
      <c r="D238" s="51" t="str">
        <f>VLOOKUP(C238,'Shift Codes'!$A$1:$K$36,2,FALSE)</f>
        <v>Tu-Sa</v>
      </c>
      <c r="E238" s="51" t="str">
        <f>VLOOKUP(C238,'Shift Codes'!$A$1:$K$36,3,FALSE)</f>
        <v>DAY</v>
      </c>
    </row>
    <row r="239" spans="1:5" x14ac:dyDescent="0.35">
      <c r="A239" s="50">
        <v>204739995</v>
      </c>
      <c r="B239" t="s">
        <v>497</v>
      </c>
      <c r="C239" t="s">
        <v>435</v>
      </c>
      <c r="D239" s="51" t="str">
        <f>VLOOKUP(C239,'Shift Codes'!$A$1:$K$36,2,FALSE)</f>
        <v>F-Tu</v>
      </c>
      <c r="E239" s="51" t="str">
        <f>VLOOKUP(C239,'Shift Codes'!$A$1:$K$36,3,FALSE)</f>
        <v>DAY</v>
      </c>
    </row>
    <row r="240" spans="1:5" x14ac:dyDescent="0.35">
      <c r="A240" s="50">
        <v>204739986</v>
      </c>
      <c r="B240" t="s">
        <v>520</v>
      </c>
      <c r="C240" t="s">
        <v>435</v>
      </c>
      <c r="D240" s="51" t="str">
        <f>VLOOKUP(C240,'Shift Codes'!$A$1:$K$36,2,FALSE)</f>
        <v>F-Tu</v>
      </c>
      <c r="E240" s="51" t="str">
        <f>VLOOKUP(C240,'Shift Codes'!$A$1:$K$36,3,FALSE)</f>
        <v>DAY</v>
      </c>
    </row>
    <row r="241" spans="1:5" x14ac:dyDescent="0.35">
      <c r="A241" s="50">
        <v>204739985</v>
      </c>
      <c r="B241" t="s">
        <v>521</v>
      </c>
      <c r="C241" t="s">
        <v>435</v>
      </c>
      <c r="D241" s="51" t="str">
        <f>VLOOKUP(C241,'Shift Codes'!$A$1:$K$36,2,FALSE)</f>
        <v>F-Tu</v>
      </c>
      <c r="E241" s="51" t="str">
        <f>VLOOKUP(C241,'Shift Codes'!$A$1:$K$36,3,FALSE)</f>
        <v>DAY</v>
      </c>
    </row>
    <row r="242" spans="1:5" x14ac:dyDescent="0.35">
      <c r="A242" s="50">
        <v>204739983</v>
      </c>
      <c r="B242" t="s">
        <v>553</v>
      </c>
      <c r="C242" t="s">
        <v>435</v>
      </c>
      <c r="D242" s="51" t="str">
        <f>VLOOKUP(C242,'Shift Codes'!$A$1:$K$36,2,FALSE)</f>
        <v>F-Tu</v>
      </c>
      <c r="E242" s="51" t="str">
        <f>VLOOKUP(C242,'Shift Codes'!$A$1:$K$36,3,FALSE)</f>
        <v>DAY</v>
      </c>
    </row>
    <row r="243" spans="1:5" x14ac:dyDescent="0.35">
      <c r="A243" s="50">
        <v>204219806</v>
      </c>
      <c r="B243" t="s">
        <v>525</v>
      </c>
      <c r="C243" t="s">
        <v>435</v>
      </c>
      <c r="D243" s="51" t="str">
        <f>VLOOKUP(C243,'Shift Codes'!$A$1:$K$36,2,FALSE)</f>
        <v>F-Tu</v>
      </c>
      <c r="E243" s="51" t="str">
        <f>VLOOKUP(C243,'Shift Codes'!$A$1:$K$36,3,FALSE)</f>
        <v>DAY</v>
      </c>
    </row>
    <row r="244" spans="1:5" x14ac:dyDescent="0.35">
      <c r="A244" s="50">
        <v>204219764</v>
      </c>
      <c r="B244" t="s">
        <v>535</v>
      </c>
      <c r="C244" t="s">
        <v>435</v>
      </c>
      <c r="D244" s="51" t="str">
        <f>VLOOKUP(C244,'Shift Codes'!$A$1:$K$36,2,FALSE)</f>
        <v>F-Tu</v>
      </c>
      <c r="E244" s="51" t="str">
        <f>VLOOKUP(C244,'Shift Codes'!$A$1:$K$36,3,FALSE)</f>
        <v>DAY</v>
      </c>
    </row>
    <row r="245" spans="1:5" x14ac:dyDescent="0.35">
      <c r="A245" s="50">
        <v>203396560</v>
      </c>
      <c r="B245" t="s">
        <v>287</v>
      </c>
      <c r="C245" t="s">
        <v>435</v>
      </c>
      <c r="D245" s="51" t="str">
        <f>VLOOKUP(C245,'Shift Codes'!$A$1:$K$36,2,FALSE)</f>
        <v>F-Tu</v>
      </c>
      <c r="E245" s="51" t="str">
        <f>VLOOKUP(C245,'Shift Codes'!$A$1:$K$36,3,FALSE)</f>
        <v>DAY</v>
      </c>
    </row>
    <row r="246" spans="1:5" x14ac:dyDescent="0.35">
      <c r="A246" s="50">
        <v>202709977</v>
      </c>
      <c r="B246" t="s">
        <v>507</v>
      </c>
      <c r="C246" t="s">
        <v>435</v>
      </c>
      <c r="D246" s="51" t="str">
        <f>VLOOKUP(C246,'Shift Codes'!$A$1:$K$36,2,FALSE)</f>
        <v>F-Tu</v>
      </c>
      <c r="E246" s="51" t="str">
        <f>VLOOKUP(C246,'Shift Codes'!$A$1:$K$36,3,FALSE)</f>
        <v>DAY</v>
      </c>
    </row>
    <row r="247" spans="1:5" x14ac:dyDescent="0.35">
      <c r="A247" s="50">
        <v>200674006</v>
      </c>
      <c r="B247" t="s">
        <v>249</v>
      </c>
      <c r="C247" t="s">
        <v>435</v>
      </c>
      <c r="D247" s="51" t="str">
        <f>VLOOKUP(C247,'Shift Codes'!$A$1:$K$36,2,FALSE)</f>
        <v>F-Tu</v>
      </c>
      <c r="E247" s="51" t="str">
        <f>VLOOKUP(C247,'Shift Codes'!$A$1:$K$36,3,FALSE)</f>
        <v>DAY</v>
      </c>
    </row>
    <row r="248" spans="1:5" x14ac:dyDescent="0.35">
      <c r="A248" s="50">
        <v>200520494</v>
      </c>
      <c r="B248" t="s">
        <v>487</v>
      </c>
      <c r="C248" t="s">
        <v>435</v>
      </c>
      <c r="D248" s="51" t="str">
        <f>VLOOKUP(C248,'Shift Codes'!$A$1:$K$36,2,FALSE)</f>
        <v>F-Tu</v>
      </c>
      <c r="E248" s="51" t="str">
        <f>VLOOKUP(C248,'Shift Codes'!$A$1:$K$36,3,FALSE)</f>
        <v>DAY</v>
      </c>
    </row>
    <row r="249" spans="1:5" x14ac:dyDescent="0.35">
      <c r="A249" s="50">
        <v>112593637</v>
      </c>
      <c r="B249" t="s">
        <v>495</v>
      </c>
      <c r="C249" t="s">
        <v>435</v>
      </c>
      <c r="D249" s="51" t="str">
        <f>VLOOKUP(C249,'Shift Codes'!$A$1:$K$36,2,FALSE)</f>
        <v>F-Tu</v>
      </c>
      <c r="E249" s="51" t="str">
        <f>VLOOKUP(C249,'Shift Codes'!$A$1:$K$36,3,FALSE)</f>
        <v>DAY</v>
      </c>
    </row>
    <row r="250" spans="1:5" x14ac:dyDescent="0.35">
      <c r="A250" s="50">
        <v>110921489</v>
      </c>
      <c r="B250" t="s">
        <v>276</v>
      </c>
      <c r="C250" t="s">
        <v>435</v>
      </c>
      <c r="D250" s="51" t="str">
        <f>VLOOKUP(C250,'Shift Codes'!$A$1:$K$36,2,FALSE)</f>
        <v>F-Tu</v>
      </c>
      <c r="E250" s="51" t="str">
        <f>VLOOKUP(C250,'Shift Codes'!$A$1:$K$36,3,FALSE)</f>
        <v>DAY</v>
      </c>
    </row>
    <row r="251" spans="1:5" x14ac:dyDescent="0.35">
      <c r="A251" s="50">
        <v>101581995</v>
      </c>
      <c r="B251" t="s">
        <v>463</v>
      </c>
      <c r="C251" t="s">
        <v>435</v>
      </c>
      <c r="D251" s="51" t="str">
        <f>VLOOKUP(C251,'Shift Codes'!$A$1:$K$36,2,FALSE)</f>
        <v>F-Tu</v>
      </c>
      <c r="E251" s="51" t="str">
        <f>VLOOKUP(C251,'Shift Codes'!$A$1:$K$36,3,FALSE)</f>
        <v>DAY</v>
      </c>
    </row>
    <row r="252" spans="1:5" x14ac:dyDescent="0.35">
      <c r="A252" s="50">
        <v>203579400</v>
      </c>
      <c r="B252" t="s">
        <v>236</v>
      </c>
      <c r="C252" t="s">
        <v>436</v>
      </c>
      <c r="D252" s="51" t="str">
        <f>VLOOKUP(C252,'Shift Codes'!$A$1:$K$36,2,FALSE)</f>
        <v>Sa-W</v>
      </c>
      <c r="E252" s="51" t="str">
        <f>VLOOKUP(C252,'Shift Codes'!$A$1:$K$36,3,FALSE)</f>
        <v>DAY</v>
      </c>
    </row>
    <row r="253" spans="1:5" x14ac:dyDescent="0.35">
      <c r="A253" s="50">
        <v>202778783</v>
      </c>
      <c r="B253" t="s">
        <v>253</v>
      </c>
      <c r="C253" t="s">
        <v>436</v>
      </c>
      <c r="D253" s="51" t="str">
        <f>VLOOKUP(C253,'Shift Codes'!$A$1:$K$36,2,FALSE)</f>
        <v>Sa-W</v>
      </c>
      <c r="E253" s="51" t="str">
        <f>VLOOKUP(C253,'Shift Codes'!$A$1:$K$36,3,FALSE)</f>
        <v>DAY</v>
      </c>
    </row>
    <row r="254" spans="1:5" x14ac:dyDescent="0.35">
      <c r="A254" s="50">
        <v>202098927</v>
      </c>
      <c r="B254" t="s">
        <v>281</v>
      </c>
      <c r="C254" t="s">
        <v>436</v>
      </c>
      <c r="D254" s="51" t="str">
        <f>VLOOKUP(C254,'Shift Codes'!$A$1:$K$36,2,FALSE)</f>
        <v>Sa-W</v>
      </c>
      <c r="E254" s="51" t="str">
        <f>VLOOKUP(C254,'Shift Codes'!$A$1:$K$36,3,FALSE)</f>
        <v>DAY</v>
      </c>
    </row>
    <row r="255" spans="1:5" x14ac:dyDescent="0.35">
      <c r="A255" s="50">
        <v>200760737</v>
      </c>
      <c r="B255" t="s">
        <v>220</v>
      </c>
      <c r="C255" t="s">
        <v>436</v>
      </c>
      <c r="D255" s="51" t="str">
        <f>VLOOKUP(C255,'Shift Codes'!$A$1:$K$36,2,FALSE)</f>
        <v>Sa-W</v>
      </c>
      <c r="E255" s="51" t="str">
        <f>VLOOKUP(C255,'Shift Codes'!$A$1:$K$36,3,FALSE)</f>
        <v>DAY</v>
      </c>
    </row>
    <row r="256" spans="1:5" x14ac:dyDescent="0.35">
      <c r="A256" s="50">
        <v>109278268</v>
      </c>
      <c r="B256" t="s">
        <v>513</v>
      </c>
      <c r="C256" t="s">
        <v>436</v>
      </c>
      <c r="D256" s="51" t="str">
        <f>VLOOKUP(C256,'Shift Codes'!$A$1:$K$36,2,FALSE)</f>
        <v>Sa-W</v>
      </c>
      <c r="E256" s="51" t="str">
        <f>VLOOKUP(C256,'Shift Codes'!$A$1:$K$36,3,FALSE)</f>
        <v>DAY</v>
      </c>
    </row>
    <row r="257" spans="1:5" x14ac:dyDescent="0.35">
      <c r="A257" s="50">
        <v>204707106</v>
      </c>
      <c r="B257" t="s">
        <v>527</v>
      </c>
      <c r="C257" t="s">
        <v>101</v>
      </c>
      <c r="D257" s="51" t="str">
        <f>VLOOKUP(C257,'Shift Codes'!$A$1:$K$36,2,FALSE)</f>
        <v>F-Tu</v>
      </c>
      <c r="E257" s="51" t="str">
        <f>VLOOKUP(C257,'Shift Codes'!$A$1:$K$36,3,FALSE)</f>
        <v>TWI</v>
      </c>
    </row>
    <row r="258" spans="1:5" x14ac:dyDescent="0.35">
      <c r="A258" s="50">
        <v>204707105</v>
      </c>
      <c r="B258" t="s">
        <v>502</v>
      </c>
      <c r="C258" t="s">
        <v>101</v>
      </c>
      <c r="D258" s="51" t="str">
        <f>VLOOKUP(C258,'Shift Codes'!$A$1:$K$36,2,FALSE)</f>
        <v>F-Tu</v>
      </c>
      <c r="E258" s="51" t="str">
        <f>VLOOKUP(C258,'Shift Codes'!$A$1:$K$36,3,FALSE)</f>
        <v>TWI</v>
      </c>
    </row>
    <row r="259" spans="1:5" x14ac:dyDescent="0.35">
      <c r="A259" s="50">
        <v>203435248</v>
      </c>
      <c r="B259" t="s">
        <v>500</v>
      </c>
      <c r="C259" t="s">
        <v>101</v>
      </c>
      <c r="D259" s="51" t="str">
        <f>VLOOKUP(C259,'Shift Codes'!$A$1:$K$36,2,FALSE)</f>
        <v>F-Tu</v>
      </c>
      <c r="E259" s="51" t="str">
        <f>VLOOKUP(C259,'Shift Codes'!$A$1:$K$36,3,FALSE)</f>
        <v>TWI</v>
      </c>
    </row>
    <row r="260" spans="1:5" x14ac:dyDescent="0.35">
      <c r="A260" s="50">
        <v>203435228</v>
      </c>
      <c r="B260" t="s">
        <v>100</v>
      </c>
      <c r="C260" t="s">
        <v>101</v>
      </c>
      <c r="D260" s="51" t="str">
        <f>VLOOKUP(C260,'Shift Codes'!$A$1:$K$36,2,FALSE)</f>
        <v>F-Tu</v>
      </c>
      <c r="E260" s="51" t="str">
        <f>VLOOKUP(C260,'Shift Codes'!$A$1:$K$36,3,FALSE)</f>
        <v>TWI</v>
      </c>
    </row>
    <row r="261" spans="1:5" x14ac:dyDescent="0.35">
      <c r="A261" s="50">
        <v>200972027</v>
      </c>
      <c r="B261" t="s">
        <v>363</v>
      </c>
      <c r="C261" t="s">
        <v>101</v>
      </c>
      <c r="D261" s="51" t="str">
        <f>VLOOKUP(C261,'Shift Codes'!$A$1:$K$36,2,FALSE)</f>
        <v>F-Tu</v>
      </c>
      <c r="E261" s="51" t="str">
        <f>VLOOKUP(C261,'Shift Codes'!$A$1:$K$36,3,FALSE)</f>
        <v>TWI</v>
      </c>
    </row>
    <row r="262" spans="1:5" x14ac:dyDescent="0.35">
      <c r="A262" s="50">
        <v>112611115</v>
      </c>
      <c r="B262" t="s">
        <v>373</v>
      </c>
      <c r="C262" t="s">
        <v>101</v>
      </c>
      <c r="D262" s="51" t="str">
        <f>VLOOKUP(C262,'Shift Codes'!$A$1:$K$36,2,FALSE)</f>
        <v>F-Tu</v>
      </c>
      <c r="E262" s="51" t="str">
        <f>VLOOKUP(C262,'Shift Codes'!$A$1:$K$36,3,FALSE)</f>
        <v>TWI</v>
      </c>
    </row>
    <row r="263" spans="1:5" x14ac:dyDescent="0.35">
      <c r="A263" s="50">
        <v>204754734</v>
      </c>
      <c r="B263" t="s">
        <v>481</v>
      </c>
      <c r="C263" t="s">
        <v>445</v>
      </c>
      <c r="D263" s="51" t="str">
        <f>VLOOKUP(C263,'Shift Codes'!$A$1:$K$36,2,FALSE)</f>
        <v>M-F</v>
      </c>
      <c r="E263" s="51" t="str">
        <f>VLOOKUP(C263,'Shift Codes'!$A$1:$K$36,3,FALSE)</f>
        <v>TWI</v>
      </c>
    </row>
    <row r="264" spans="1:5" x14ac:dyDescent="0.35">
      <c r="A264" s="50">
        <v>204754728</v>
      </c>
      <c r="B264" t="s">
        <v>533</v>
      </c>
      <c r="C264" t="s">
        <v>445</v>
      </c>
      <c r="D264" s="51" t="str">
        <f>VLOOKUP(C264,'Shift Codes'!$A$1:$K$36,2,FALSE)</f>
        <v>M-F</v>
      </c>
      <c r="E264" s="51" t="str">
        <f>VLOOKUP(C264,'Shift Codes'!$A$1:$K$36,3,FALSE)</f>
        <v>TWI</v>
      </c>
    </row>
    <row r="265" spans="1:5" x14ac:dyDescent="0.35">
      <c r="A265" s="50">
        <v>203415041</v>
      </c>
      <c r="B265" t="s">
        <v>360</v>
      </c>
      <c r="C265" t="s">
        <v>445</v>
      </c>
      <c r="D265" s="51" t="str">
        <f>VLOOKUP(C265,'Shift Codes'!$A$1:$K$36,2,FALSE)</f>
        <v>M-F</v>
      </c>
      <c r="E265" s="51" t="str">
        <f>VLOOKUP(C265,'Shift Codes'!$A$1:$K$36,3,FALSE)</f>
        <v>TWI</v>
      </c>
    </row>
    <row r="266" spans="1:5" x14ac:dyDescent="0.35">
      <c r="A266" s="50">
        <v>202887116</v>
      </c>
      <c r="B266" t="s">
        <v>571</v>
      </c>
      <c r="C266" t="s">
        <v>445</v>
      </c>
      <c r="D266" s="51" t="str">
        <f>VLOOKUP(C266,'Shift Codes'!$A$1:$K$36,2,FALSE)</f>
        <v>M-F</v>
      </c>
      <c r="E266" s="51" t="str">
        <f>VLOOKUP(C266,'Shift Codes'!$A$1:$K$36,3,FALSE)</f>
        <v>TWI</v>
      </c>
    </row>
    <row r="267" spans="1:5" x14ac:dyDescent="0.35">
      <c r="A267" s="50">
        <v>202753351</v>
      </c>
      <c r="B267" t="s">
        <v>207</v>
      </c>
      <c r="C267" t="s">
        <v>445</v>
      </c>
      <c r="D267" s="51" t="str">
        <f>VLOOKUP(C267,'Shift Codes'!$A$1:$K$36,2,FALSE)</f>
        <v>M-F</v>
      </c>
      <c r="E267" s="51" t="str">
        <f>VLOOKUP(C267,'Shift Codes'!$A$1:$K$36,3,FALSE)</f>
        <v>TWI</v>
      </c>
    </row>
    <row r="268" spans="1:5" x14ac:dyDescent="0.35">
      <c r="A268" s="50">
        <v>202737471</v>
      </c>
      <c r="B268" t="s">
        <v>362</v>
      </c>
      <c r="C268" t="s">
        <v>445</v>
      </c>
      <c r="D268" s="51" t="str">
        <f>VLOOKUP(C268,'Shift Codes'!$A$1:$K$36,2,FALSE)</f>
        <v>M-F</v>
      </c>
      <c r="E268" s="51" t="str">
        <f>VLOOKUP(C268,'Shift Codes'!$A$1:$K$36,3,FALSE)</f>
        <v>TWI</v>
      </c>
    </row>
    <row r="269" spans="1:5" x14ac:dyDescent="0.35">
      <c r="A269" s="50">
        <v>201961403</v>
      </c>
      <c r="B269" t="s">
        <v>201</v>
      </c>
      <c r="C269" t="s">
        <v>445</v>
      </c>
      <c r="D269" s="51" t="str">
        <f>VLOOKUP(C269,'Shift Codes'!$A$1:$K$36,2,FALSE)</f>
        <v>M-F</v>
      </c>
      <c r="E269" s="51" t="str">
        <f>VLOOKUP(C269,'Shift Codes'!$A$1:$K$36,3,FALSE)</f>
        <v>TWI</v>
      </c>
    </row>
    <row r="270" spans="1:5" x14ac:dyDescent="0.35">
      <c r="A270" s="50">
        <v>201956919</v>
      </c>
      <c r="B270" t="s">
        <v>467</v>
      </c>
      <c r="C270" t="s">
        <v>445</v>
      </c>
      <c r="D270" s="51" t="str">
        <f>VLOOKUP(C270,'Shift Codes'!$A$1:$K$36,2,FALSE)</f>
        <v>M-F</v>
      </c>
      <c r="E270" s="51" t="str">
        <f>VLOOKUP(C270,'Shift Codes'!$A$1:$K$36,3,FALSE)</f>
        <v>TWI</v>
      </c>
    </row>
    <row r="271" spans="1:5" x14ac:dyDescent="0.35">
      <c r="A271" s="50">
        <v>201790447</v>
      </c>
      <c r="B271" t="s">
        <v>359</v>
      </c>
      <c r="C271" t="s">
        <v>445</v>
      </c>
      <c r="D271" s="51" t="str">
        <f>VLOOKUP(C271,'Shift Codes'!$A$1:$K$36,2,FALSE)</f>
        <v>M-F</v>
      </c>
      <c r="E271" s="51" t="str">
        <f>VLOOKUP(C271,'Shift Codes'!$A$1:$K$36,3,FALSE)</f>
        <v>TWI</v>
      </c>
    </row>
    <row r="272" spans="1:5" x14ac:dyDescent="0.35">
      <c r="A272" s="50">
        <v>201382482</v>
      </c>
      <c r="B272" t="s">
        <v>365</v>
      </c>
      <c r="C272" t="s">
        <v>445</v>
      </c>
      <c r="D272" s="51" t="str">
        <f>VLOOKUP(C272,'Shift Codes'!$A$1:$K$36,2,FALSE)</f>
        <v>M-F</v>
      </c>
      <c r="E272" s="51" t="str">
        <f>VLOOKUP(C272,'Shift Codes'!$A$1:$K$36,3,FALSE)</f>
        <v>TWI</v>
      </c>
    </row>
    <row r="273" spans="1:5" x14ac:dyDescent="0.35">
      <c r="A273" s="50">
        <v>201336114</v>
      </c>
      <c r="B273" t="s">
        <v>545</v>
      </c>
      <c r="C273" t="s">
        <v>445</v>
      </c>
      <c r="D273" s="51" t="str">
        <f>VLOOKUP(C273,'Shift Codes'!$A$1:$K$36,2,FALSE)</f>
        <v>M-F</v>
      </c>
      <c r="E273" s="51" t="str">
        <f>VLOOKUP(C273,'Shift Codes'!$A$1:$K$36,3,FALSE)</f>
        <v>TWI</v>
      </c>
    </row>
    <row r="274" spans="1:5" x14ac:dyDescent="0.35">
      <c r="A274" s="50">
        <v>112891006</v>
      </c>
      <c r="B274" t="s">
        <v>514</v>
      </c>
      <c r="C274" t="s">
        <v>445</v>
      </c>
      <c r="D274" s="51" t="str">
        <f>VLOOKUP(C274,'Shift Codes'!$A$1:$K$36,2,FALSE)</f>
        <v>M-F</v>
      </c>
      <c r="E274" s="51" t="str">
        <f>VLOOKUP(C274,'Shift Codes'!$A$1:$K$36,3,FALSE)</f>
        <v>TWI</v>
      </c>
    </row>
    <row r="275" spans="1:5" x14ac:dyDescent="0.35">
      <c r="A275" s="50">
        <v>112625065</v>
      </c>
      <c r="B275" t="s">
        <v>528</v>
      </c>
      <c r="C275" t="s">
        <v>445</v>
      </c>
      <c r="D275" s="51" t="str">
        <f>VLOOKUP(C275,'Shift Codes'!$A$1:$K$36,2,FALSE)</f>
        <v>M-F</v>
      </c>
      <c r="E275" s="51" t="str">
        <f>VLOOKUP(C275,'Shift Codes'!$A$1:$K$36,3,FALSE)</f>
        <v>TWI</v>
      </c>
    </row>
    <row r="276" spans="1:5" x14ac:dyDescent="0.35">
      <c r="A276" s="50">
        <v>204315578</v>
      </c>
      <c r="B276" t="s">
        <v>136</v>
      </c>
      <c r="C276" t="s">
        <v>137</v>
      </c>
      <c r="D276" s="51" t="str">
        <f>VLOOKUP(C276,'Shift Codes'!$A$1:$K$36,2,FALSE)</f>
        <v>Tu-Sa</v>
      </c>
      <c r="E276" s="51" t="str">
        <f>VLOOKUP(C276,'Shift Codes'!$A$1:$K$36,3,FALSE)</f>
        <v>NIT</v>
      </c>
    </row>
    <row r="277" spans="1:5" x14ac:dyDescent="0.35">
      <c r="A277" s="50">
        <v>204217877</v>
      </c>
      <c r="B277" t="s">
        <v>138</v>
      </c>
      <c r="C277" t="s">
        <v>137</v>
      </c>
      <c r="D277" s="51" t="str">
        <f>VLOOKUP(C277,'Shift Codes'!$A$1:$K$36,2,FALSE)</f>
        <v>Tu-Sa</v>
      </c>
      <c r="E277" s="51" t="str">
        <f>VLOOKUP(C277,'Shift Codes'!$A$1:$K$36,3,FALSE)</f>
        <v>NIT</v>
      </c>
    </row>
    <row r="278" spans="1:5" x14ac:dyDescent="0.35">
      <c r="A278" s="50">
        <v>203567970</v>
      </c>
      <c r="B278" t="s">
        <v>139</v>
      </c>
      <c r="C278" t="s">
        <v>137</v>
      </c>
      <c r="D278" s="51" t="str">
        <f>VLOOKUP(C278,'Shift Codes'!$A$1:$K$36,2,FALSE)</f>
        <v>Tu-Sa</v>
      </c>
      <c r="E278" s="51" t="str">
        <f>VLOOKUP(C278,'Shift Codes'!$A$1:$K$36,3,FALSE)</f>
        <v>NIT</v>
      </c>
    </row>
    <row r="279" spans="1:5" x14ac:dyDescent="0.35">
      <c r="A279" s="50">
        <v>202774617</v>
      </c>
      <c r="B279" t="s">
        <v>140</v>
      </c>
      <c r="C279" t="s">
        <v>137</v>
      </c>
      <c r="D279" s="51" t="str">
        <f>VLOOKUP(C279,'Shift Codes'!$A$1:$K$36,2,FALSE)</f>
        <v>Tu-Sa</v>
      </c>
      <c r="E279" s="51" t="str">
        <f>VLOOKUP(C279,'Shift Codes'!$A$1:$K$36,3,FALSE)</f>
        <v>NIT</v>
      </c>
    </row>
    <row r="280" spans="1:5" x14ac:dyDescent="0.35">
      <c r="A280" s="50">
        <v>202353594</v>
      </c>
      <c r="B280" t="s">
        <v>142</v>
      </c>
      <c r="C280" t="s">
        <v>137</v>
      </c>
      <c r="D280" s="51" t="str">
        <f>VLOOKUP(C280,'Shift Codes'!$A$1:$K$36,2,FALSE)</f>
        <v>Tu-Sa</v>
      </c>
      <c r="E280" s="51" t="str">
        <f>VLOOKUP(C280,'Shift Codes'!$A$1:$K$36,3,FALSE)</f>
        <v>NIT</v>
      </c>
    </row>
    <row r="281" spans="1:5" x14ac:dyDescent="0.35">
      <c r="A281" s="50">
        <v>201412840</v>
      </c>
      <c r="B281" t="s">
        <v>143</v>
      </c>
      <c r="C281" t="s">
        <v>137</v>
      </c>
      <c r="D281" s="51" t="str">
        <f>VLOOKUP(C281,'Shift Codes'!$A$1:$K$36,2,FALSE)</f>
        <v>Tu-Sa</v>
      </c>
      <c r="E281" s="51" t="str">
        <f>VLOOKUP(C281,'Shift Codes'!$A$1:$K$36,3,FALSE)</f>
        <v>NIT</v>
      </c>
    </row>
    <row r="282" spans="1:5" x14ac:dyDescent="0.35">
      <c r="A282" s="50">
        <v>200918325</v>
      </c>
      <c r="B282" t="s">
        <v>144</v>
      </c>
      <c r="C282" t="s">
        <v>137</v>
      </c>
      <c r="D282" s="51" t="str">
        <f>VLOOKUP(C282,'Shift Codes'!$A$1:$K$36,2,FALSE)</f>
        <v>Tu-Sa</v>
      </c>
      <c r="E282" s="51" t="str">
        <f>VLOOKUP(C282,'Shift Codes'!$A$1:$K$36,3,FALSE)</f>
        <v>NIT</v>
      </c>
    </row>
    <row r="283" spans="1:5" x14ac:dyDescent="0.35">
      <c r="A283" s="50">
        <v>110140177</v>
      </c>
      <c r="B283" t="s">
        <v>145</v>
      </c>
      <c r="C283" t="s">
        <v>137</v>
      </c>
      <c r="D283" s="51" t="str">
        <f>VLOOKUP(C283,'Shift Codes'!$A$1:$K$36,2,FALSE)</f>
        <v>Tu-Sa</v>
      </c>
      <c r="E283" s="51" t="str">
        <f>VLOOKUP(C283,'Shift Codes'!$A$1:$K$36,3,FALSE)</f>
        <v>NIT</v>
      </c>
    </row>
    <row r="284" spans="1:5" x14ac:dyDescent="0.35">
      <c r="A284" s="50">
        <v>104148393</v>
      </c>
      <c r="B284" t="s">
        <v>146</v>
      </c>
      <c r="C284" t="s">
        <v>137</v>
      </c>
      <c r="D284" s="51" t="str">
        <f>VLOOKUP(C284,'Shift Codes'!$A$1:$K$36,2,FALSE)</f>
        <v>Tu-Sa</v>
      </c>
      <c r="E284" s="51" t="str">
        <f>VLOOKUP(C284,'Shift Codes'!$A$1:$K$36,3,FALSE)</f>
        <v>NIT</v>
      </c>
    </row>
    <row r="285" spans="1:5" x14ac:dyDescent="0.35">
      <c r="A285" s="50">
        <v>204752797</v>
      </c>
      <c r="B285" t="s">
        <v>147</v>
      </c>
      <c r="C285" t="s">
        <v>148</v>
      </c>
      <c r="D285" s="51" t="str">
        <f>VLOOKUP(C285,'Shift Codes'!$A$1:$K$36,2,FALSE)</f>
        <v>Su-Th</v>
      </c>
      <c r="E285" s="51" t="str">
        <f>VLOOKUP(C285,'Shift Codes'!$A$1:$K$36,3,FALSE)</f>
        <v>NIT</v>
      </c>
    </row>
    <row r="286" spans="1:5" x14ac:dyDescent="0.35">
      <c r="A286" s="50">
        <v>204752797</v>
      </c>
      <c r="B286" t="s">
        <v>147</v>
      </c>
      <c r="C286" t="s">
        <v>148</v>
      </c>
      <c r="D286" s="51" t="str">
        <f>VLOOKUP(C286,'Shift Codes'!$A$1:$K$36,2,FALSE)</f>
        <v>Su-Th</v>
      </c>
      <c r="E286" s="51" t="str">
        <f>VLOOKUP(C286,'Shift Codes'!$A$1:$K$36,3,FALSE)</f>
        <v>NIT</v>
      </c>
    </row>
    <row r="287" spans="1:5" x14ac:dyDescent="0.35">
      <c r="A287" s="50">
        <v>202829205</v>
      </c>
      <c r="B287" t="s">
        <v>149</v>
      </c>
      <c r="C287" t="s">
        <v>148</v>
      </c>
      <c r="D287" s="51" t="str">
        <f>VLOOKUP(C287,'Shift Codes'!$A$1:$K$36,2,FALSE)</f>
        <v>Su-Th</v>
      </c>
      <c r="E287" s="51" t="str">
        <f>VLOOKUP(C287,'Shift Codes'!$A$1:$K$36,3,FALSE)</f>
        <v>NIT</v>
      </c>
    </row>
    <row r="288" spans="1:5" x14ac:dyDescent="0.35">
      <c r="A288" s="50">
        <v>202829205</v>
      </c>
      <c r="B288" t="s">
        <v>149</v>
      </c>
      <c r="C288" t="s">
        <v>148</v>
      </c>
      <c r="D288" s="51" t="str">
        <f>VLOOKUP(C288,'Shift Codes'!$A$1:$K$36,2,FALSE)</f>
        <v>Su-Th</v>
      </c>
      <c r="E288" s="51" t="str">
        <f>VLOOKUP(C288,'Shift Codes'!$A$1:$K$36,3,FALSE)</f>
        <v>NIT</v>
      </c>
    </row>
    <row r="289" spans="1:5" x14ac:dyDescent="0.35">
      <c r="A289" s="50">
        <v>202790466</v>
      </c>
      <c r="B289" t="s">
        <v>150</v>
      </c>
      <c r="C289" t="s">
        <v>148</v>
      </c>
      <c r="D289" s="51" t="str">
        <f>VLOOKUP(C289,'Shift Codes'!$A$1:$K$36,2,FALSE)</f>
        <v>Su-Th</v>
      </c>
      <c r="E289" s="51" t="str">
        <f>VLOOKUP(C289,'Shift Codes'!$A$1:$K$36,3,FALSE)</f>
        <v>NIT</v>
      </c>
    </row>
    <row r="290" spans="1:5" x14ac:dyDescent="0.35">
      <c r="A290" s="50">
        <v>202790466</v>
      </c>
      <c r="B290" t="s">
        <v>150</v>
      </c>
      <c r="C290" t="s">
        <v>148</v>
      </c>
      <c r="D290" s="51" t="str">
        <f>VLOOKUP(C290,'Shift Codes'!$A$1:$K$36,2,FALSE)</f>
        <v>Su-Th</v>
      </c>
      <c r="E290" s="51" t="str">
        <f>VLOOKUP(C290,'Shift Codes'!$A$1:$K$36,3,FALSE)</f>
        <v>NIT</v>
      </c>
    </row>
    <row r="291" spans="1:5" x14ac:dyDescent="0.35">
      <c r="A291" s="50">
        <v>202069334</v>
      </c>
      <c r="B291" t="s">
        <v>151</v>
      </c>
      <c r="C291" t="s">
        <v>148</v>
      </c>
      <c r="D291" s="51" t="str">
        <f>VLOOKUP(C291,'Shift Codes'!$A$1:$K$36,2,FALSE)</f>
        <v>Su-Th</v>
      </c>
      <c r="E291" s="51" t="str">
        <f>VLOOKUP(C291,'Shift Codes'!$A$1:$K$36,3,FALSE)</f>
        <v>NIT</v>
      </c>
    </row>
    <row r="292" spans="1:5" x14ac:dyDescent="0.35">
      <c r="A292" s="50">
        <v>202069334</v>
      </c>
      <c r="B292" t="s">
        <v>151</v>
      </c>
      <c r="C292" t="s">
        <v>148</v>
      </c>
      <c r="D292" s="51" t="str">
        <f>VLOOKUP(C292,'Shift Codes'!$A$1:$K$36,2,FALSE)</f>
        <v>Su-Th</v>
      </c>
      <c r="E292" s="51" t="str">
        <f>VLOOKUP(C292,'Shift Codes'!$A$1:$K$36,3,FALSE)</f>
        <v>NIT</v>
      </c>
    </row>
    <row r="293" spans="1:5" x14ac:dyDescent="0.35">
      <c r="A293" s="50">
        <v>201474274</v>
      </c>
      <c r="B293" t="s">
        <v>152</v>
      </c>
      <c r="C293" t="s">
        <v>148</v>
      </c>
      <c r="D293" s="51" t="str">
        <f>VLOOKUP(C293,'Shift Codes'!$A$1:$K$36,2,FALSE)</f>
        <v>Su-Th</v>
      </c>
      <c r="E293" s="51" t="str">
        <f>VLOOKUP(C293,'Shift Codes'!$A$1:$K$36,3,FALSE)</f>
        <v>NIT</v>
      </c>
    </row>
    <row r="294" spans="1:5" x14ac:dyDescent="0.35">
      <c r="A294" s="50">
        <v>201474274</v>
      </c>
      <c r="B294" t="s">
        <v>152</v>
      </c>
      <c r="C294" t="s">
        <v>148</v>
      </c>
      <c r="D294" s="51" t="str">
        <f>VLOOKUP(C294,'Shift Codes'!$A$1:$K$36,2,FALSE)</f>
        <v>Su-Th</v>
      </c>
      <c r="E294" s="51" t="str">
        <f>VLOOKUP(C294,'Shift Codes'!$A$1:$K$36,3,FALSE)</f>
        <v>NIT</v>
      </c>
    </row>
    <row r="295" spans="1:5" x14ac:dyDescent="0.35">
      <c r="A295" s="50">
        <v>201408788</v>
      </c>
      <c r="B295" t="s">
        <v>153</v>
      </c>
      <c r="C295" t="s">
        <v>148</v>
      </c>
      <c r="D295" s="51" t="str">
        <f>VLOOKUP(C295,'Shift Codes'!$A$1:$K$36,2,FALSE)</f>
        <v>Su-Th</v>
      </c>
      <c r="E295" s="51" t="str">
        <f>VLOOKUP(C295,'Shift Codes'!$A$1:$K$36,3,FALSE)</f>
        <v>NIT</v>
      </c>
    </row>
    <row r="296" spans="1:5" x14ac:dyDescent="0.35">
      <c r="A296" s="50">
        <v>201408788</v>
      </c>
      <c r="B296" t="s">
        <v>153</v>
      </c>
      <c r="C296" t="s">
        <v>148</v>
      </c>
      <c r="D296" s="51" t="str">
        <f>VLOOKUP(C296,'Shift Codes'!$A$1:$K$36,2,FALSE)</f>
        <v>Su-Th</v>
      </c>
      <c r="E296" s="51" t="str">
        <f>VLOOKUP(C296,'Shift Codes'!$A$1:$K$36,3,FALSE)</f>
        <v>NIT</v>
      </c>
    </row>
    <row r="297" spans="1:5" x14ac:dyDescent="0.35">
      <c r="A297" s="50">
        <v>201295872</v>
      </c>
      <c r="B297" t="s">
        <v>154</v>
      </c>
      <c r="C297" t="s">
        <v>148</v>
      </c>
      <c r="D297" s="51" t="str">
        <f>VLOOKUP(C297,'Shift Codes'!$A$1:$K$36,2,FALSE)</f>
        <v>Su-Th</v>
      </c>
      <c r="E297" s="51" t="str">
        <f>VLOOKUP(C297,'Shift Codes'!$A$1:$K$36,3,FALSE)</f>
        <v>NIT</v>
      </c>
    </row>
    <row r="298" spans="1:5" x14ac:dyDescent="0.35">
      <c r="A298" s="50">
        <v>201295872</v>
      </c>
      <c r="B298" t="s">
        <v>154</v>
      </c>
      <c r="C298" t="s">
        <v>148</v>
      </c>
      <c r="D298" s="51" t="str">
        <f>VLOOKUP(C298,'Shift Codes'!$A$1:$K$36,2,FALSE)</f>
        <v>Su-Th</v>
      </c>
      <c r="E298" s="51" t="str">
        <f>VLOOKUP(C298,'Shift Codes'!$A$1:$K$36,3,FALSE)</f>
        <v>NIT</v>
      </c>
    </row>
    <row r="299" spans="1:5" x14ac:dyDescent="0.35">
      <c r="A299" s="50">
        <v>201006267</v>
      </c>
      <c r="B299" t="s">
        <v>155</v>
      </c>
      <c r="C299" t="s">
        <v>148</v>
      </c>
      <c r="D299" s="51" t="str">
        <f>VLOOKUP(C299,'Shift Codes'!$A$1:$K$36,2,FALSE)</f>
        <v>Su-Th</v>
      </c>
      <c r="E299" s="51" t="str">
        <f>VLOOKUP(C299,'Shift Codes'!$A$1:$K$36,3,FALSE)</f>
        <v>NIT</v>
      </c>
    </row>
    <row r="300" spans="1:5" x14ac:dyDescent="0.35">
      <c r="A300" s="50">
        <v>201006267</v>
      </c>
      <c r="B300" t="s">
        <v>155</v>
      </c>
      <c r="C300" t="s">
        <v>148</v>
      </c>
      <c r="D300" s="51" t="str">
        <f>VLOOKUP(C300,'Shift Codes'!$A$1:$K$36,2,FALSE)</f>
        <v>Su-Th</v>
      </c>
      <c r="E300" s="51" t="str">
        <f>VLOOKUP(C300,'Shift Codes'!$A$1:$K$36,3,FALSE)</f>
        <v>NIT</v>
      </c>
    </row>
    <row r="301" spans="1:5" x14ac:dyDescent="0.35">
      <c r="A301" s="50">
        <v>200970561</v>
      </c>
      <c r="B301" t="s">
        <v>156</v>
      </c>
      <c r="C301" t="s">
        <v>148</v>
      </c>
      <c r="D301" s="51" t="str">
        <f>VLOOKUP(C301,'Shift Codes'!$A$1:$K$36,2,FALSE)</f>
        <v>Su-Th</v>
      </c>
      <c r="E301" s="51" t="str">
        <f>VLOOKUP(C301,'Shift Codes'!$A$1:$K$36,3,FALSE)</f>
        <v>NIT</v>
      </c>
    </row>
    <row r="302" spans="1:5" x14ac:dyDescent="0.35">
      <c r="A302" s="50">
        <v>200970561</v>
      </c>
      <c r="B302" t="s">
        <v>156</v>
      </c>
      <c r="C302" t="s">
        <v>148</v>
      </c>
      <c r="D302" s="51" t="str">
        <f>VLOOKUP(C302,'Shift Codes'!$A$1:$K$36,2,FALSE)</f>
        <v>Su-Th</v>
      </c>
      <c r="E302" s="51" t="str">
        <f>VLOOKUP(C302,'Shift Codes'!$A$1:$K$36,3,FALSE)</f>
        <v>NIT</v>
      </c>
    </row>
    <row r="303" spans="1:5" x14ac:dyDescent="0.35">
      <c r="A303" s="50">
        <v>200847764</v>
      </c>
      <c r="B303" t="s">
        <v>157</v>
      </c>
      <c r="C303" t="s">
        <v>148</v>
      </c>
      <c r="D303" s="51" t="str">
        <f>VLOOKUP(C303,'Shift Codes'!$A$1:$K$36,2,FALSE)</f>
        <v>Su-Th</v>
      </c>
      <c r="E303" s="51" t="str">
        <f>VLOOKUP(C303,'Shift Codes'!$A$1:$K$36,3,FALSE)</f>
        <v>NIT</v>
      </c>
    </row>
    <row r="304" spans="1:5" x14ac:dyDescent="0.35">
      <c r="A304" s="50">
        <v>200847764</v>
      </c>
      <c r="B304" t="s">
        <v>157</v>
      </c>
      <c r="C304" t="s">
        <v>148</v>
      </c>
      <c r="D304" s="51" t="str">
        <f>VLOOKUP(C304,'Shift Codes'!$A$1:$K$36,2,FALSE)</f>
        <v>Su-Th</v>
      </c>
      <c r="E304" s="51" t="str">
        <f>VLOOKUP(C304,'Shift Codes'!$A$1:$K$36,3,FALSE)</f>
        <v>NIT</v>
      </c>
    </row>
    <row r="305" spans="1:5" x14ac:dyDescent="0.35">
      <c r="A305" s="50">
        <v>200824695</v>
      </c>
      <c r="B305" t="s">
        <v>158</v>
      </c>
      <c r="C305" t="s">
        <v>148</v>
      </c>
      <c r="D305" s="51" t="str">
        <f>VLOOKUP(C305,'Shift Codes'!$A$1:$K$36,2,FALSE)</f>
        <v>Su-Th</v>
      </c>
      <c r="E305" s="51" t="str">
        <f>VLOOKUP(C305,'Shift Codes'!$A$1:$K$36,3,FALSE)</f>
        <v>NIT</v>
      </c>
    </row>
    <row r="306" spans="1:5" x14ac:dyDescent="0.35">
      <c r="A306" s="50">
        <v>200824695</v>
      </c>
      <c r="B306" t="s">
        <v>158</v>
      </c>
      <c r="C306" t="s">
        <v>148</v>
      </c>
      <c r="D306" s="51" t="str">
        <f>VLOOKUP(C306,'Shift Codes'!$A$1:$K$36,2,FALSE)</f>
        <v>Su-Th</v>
      </c>
      <c r="E306" s="51" t="str">
        <f>VLOOKUP(C306,'Shift Codes'!$A$1:$K$36,3,FALSE)</f>
        <v>NIT</v>
      </c>
    </row>
    <row r="307" spans="1:5" x14ac:dyDescent="0.35">
      <c r="A307" s="50">
        <v>200824695</v>
      </c>
      <c r="B307" t="s">
        <v>158</v>
      </c>
      <c r="C307" t="s">
        <v>148</v>
      </c>
      <c r="D307" s="51" t="str">
        <f>VLOOKUP(C307,'Shift Codes'!$A$1:$K$36,2,FALSE)</f>
        <v>Su-Th</v>
      </c>
      <c r="E307" s="51" t="str">
        <f>VLOOKUP(C307,'Shift Codes'!$A$1:$K$36,3,FALSE)</f>
        <v>NIT</v>
      </c>
    </row>
    <row r="308" spans="1:5" x14ac:dyDescent="0.35">
      <c r="A308" s="50">
        <v>112611093</v>
      </c>
      <c r="B308" t="s">
        <v>159</v>
      </c>
      <c r="C308" t="s">
        <v>148</v>
      </c>
      <c r="D308" s="51" t="str">
        <f>VLOOKUP(C308,'Shift Codes'!$A$1:$K$36,2,FALSE)</f>
        <v>Su-Th</v>
      </c>
      <c r="E308" s="51" t="str">
        <f>VLOOKUP(C308,'Shift Codes'!$A$1:$K$36,3,FALSE)</f>
        <v>NIT</v>
      </c>
    </row>
    <row r="309" spans="1:5" x14ac:dyDescent="0.35">
      <c r="A309" s="50">
        <v>112611093</v>
      </c>
      <c r="B309" t="s">
        <v>159</v>
      </c>
      <c r="C309" t="s">
        <v>148</v>
      </c>
      <c r="D309" s="51" t="str">
        <f>VLOOKUP(C309,'Shift Codes'!$A$1:$K$36,2,FALSE)</f>
        <v>Su-Th</v>
      </c>
      <c r="E309" s="51" t="str">
        <f>VLOOKUP(C309,'Shift Codes'!$A$1:$K$36,3,FALSE)</f>
        <v>NIT</v>
      </c>
    </row>
    <row r="310" spans="1:5" x14ac:dyDescent="0.35">
      <c r="A310" s="50">
        <v>112611093</v>
      </c>
      <c r="B310" t="s">
        <v>159</v>
      </c>
      <c r="C310" t="s">
        <v>148</v>
      </c>
      <c r="D310" s="51" t="str">
        <f>VLOOKUP(C310,'Shift Codes'!$A$1:$K$36,2,FALSE)</f>
        <v>Su-Th</v>
      </c>
      <c r="E310" s="51" t="str">
        <f>VLOOKUP(C310,'Shift Codes'!$A$1:$K$36,3,FALSE)</f>
        <v>NIT</v>
      </c>
    </row>
    <row r="311" spans="1:5" x14ac:dyDescent="0.35">
      <c r="A311" s="50">
        <v>112567608</v>
      </c>
      <c r="B311" t="s">
        <v>160</v>
      </c>
      <c r="C311" t="s">
        <v>148</v>
      </c>
      <c r="D311" s="51" t="str">
        <f>VLOOKUP(C311,'Shift Codes'!$A$1:$K$36,2,FALSE)</f>
        <v>Su-Th</v>
      </c>
      <c r="E311" s="51" t="str">
        <f>VLOOKUP(C311,'Shift Codes'!$A$1:$K$36,3,FALSE)</f>
        <v>NIT</v>
      </c>
    </row>
    <row r="312" spans="1:5" x14ac:dyDescent="0.35">
      <c r="A312" s="50">
        <v>112567608</v>
      </c>
      <c r="B312" t="s">
        <v>160</v>
      </c>
      <c r="C312" t="s">
        <v>148</v>
      </c>
      <c r="D312" s="51" t="str">
        <f>VLOOKUP(C312,'Shift Codes'!$A$1:$K$36,2,FALSE)</f>
        <v>Su-Th</v>
      </c>
      <c r="E312" s="51" t="str">
        <f>VLOOKUP(C312,'Shift Codes'!$A$1:$K$36,3,FALSE)</f>
        <v>NIT</v>
      </c>
    </row>
    <row r="313" spans="1:5" x14ac:dyDescent="0.35">
      <c r="A313" s="50">
        <v>110679162</v>
      </c>
      <c r="B313" t="s">
        <v>161</v>
      </c>
      <c r="C313" t="s">
        <v>148</v>
      </c>
      <c r="D313" s="51" t="str">
        <f>VLOOKUP(C313,'Shift Codes'!$A$1:$K$36,2,FALSE)</f>
        <v>Su-Th</v>
      </c>
      <c r="E313" s="51" t="str">
        <f>VLOOKUP(C313,'Shift Codes'!$A$1:$K$36,3,FALSE)</f>
        <v>NIT</v>
      </c>
    </row>
    <row r="314" spans="1:5" x14ac:dyDescent="0.35">
      <c r="A314" s="50">
        <v>110679162</v>
      </c>
      <c r="B314" t="s">
        <v>161</v>
      </c>
      <c r="C314" t="s">
        <v>148</v>
      </c>
      <c r="D314" s="51" t="str">
        <f>VLOOKUP(C314,'Shift Codes'!$A$1:$K$36,2,FALSE)</f>
        <v>Su-Th</v>
      </c>
      <c r="E314" s="51" t="str">
        <f>VLOOKUP(C314,'Shift Codes'!$A$1:$K$36,3,FALSE)</f>
        <v>NIT</v>
      </c>
    </row>
    <row r="315" spans="1:5" x14ac:dyDescent="0.35">
      <c r="A315" s="50">
        <v>102405399</v>
      </c>
      <c r="B315" t="s">
        <v>162</v>
      </c>
      <c r="C315" t="s">
        <v>148</v>
      </c>
      <c r="D315" s="51" t="str">
        <f>VLOOKUP(C315,'Shift Codes'!$A$1:$K$36,2,FALSE)</f>
        <v>Su-Th</v>
      </c>
      <c r="E315" s="51" t="str">
        <f>VLOOKUP(C315,'Shift Codes'!$A$1:$K$36,3,FALSE)</f>
        <v>NIT</v>
      </c>
    </row>
    <row r="316" spans="1:5" x14ac:dyDescent="0.35">
      <c r="A316" s="50">
        <v>102405399</v>
      </c>
      <c r="B316" t="s">
        <v>162</v>
      </c>
      <c r="C316" t="s">
        <v>148</v>
      </c>
      <c r="D316" s="51" t="str">
        <f>VLOOKUP(C316,'Shift Codes'!$A$1:$K$36,2,FALSE)</f>
        <v>Su-Th</v>
      </c>
      <c r="E316" s="51" t="str">
        <f>VLOOKUP(C316,'Shift Codes'!$A$1:$K$36,3,FALSE)</f>
        <v>NIT</v>
      </c>
    </row>
    <row r="317" spans="1:5" x14ac:dyDescent="0.35">
      <c r="A317" s="50">
        <v>102403057</v>
      </c>
      <c r="B317" t="s">
        <v>163</v>
      </c>
      <c r="C317" t="s">
        <v>148</v>
      </c>
      <c r="D317" s="51" t="str">
        <f>VLOOKUP(C317,'Shift Codes'!$A$1:$K$36,2,FALSE)</f>
        <v>Su-Th</v>
      </c>
      <c r="E317" s="51" t="str">
        <f>VLOOKUP(C317,'Shift Codes'!$A$1:$K$36,3,FALSE)</f>
        <v>NIT</v>
      </c>
    </row>
    <row r="318" spans="1:5" x14ac:dyDescent="0.35">
      <c r="A318" s="50">
        <v>102403057</v>
      </c>
      <c r="B318" t="s">
        <v>163</v>
      </c>
      <c r="C318" t="s">
        <v>148</v>
      </c>
      <c r="D318" s="51" t="str">
        <f>VLOOKUP(C318,'Shift Codes'!$A$1:$K$36,2,FALSE)</f>
        <v>Su-Th</v>
      </c>
      <c r="E318" s="51" t="str">
        <f>VLOOKUP(C318,'Shift Codes'!$A$1:$K$36,3,FALSE)</f>
        <v>NIT</v>
      </c>
    </row>
    <row r="319" spans="1:5" x14ac:dyDescent="0.35">
      <c r="A319" s="50">
        <v>204198616</v>
      </c>
      <c r="B319" t="s">
        <v>164</v>
      </c>
      <c r="C319" t="s">
        <v>165</v>
      </c>
      <c r="D319" s="51" t="str">
        <f>VLOOKUP(C319,'Shift Codes'!$A$1:$K$36,2,FALSE)</f>
        <v>M-F</v>
      </c>
      <c r="E319" s="51" t="str">
        <f>VLOOKUP(C319,'Shift Codes'!$A$1:$K$36,3,FALSE)</f>
        <v>NIT</v>
      </c>
    </row>
    <row r="320" spans="1:5" x14ac:dyDescent="0.35">
      <c r="A320" s="50">
        <v>204198616</v>
      </c>
      <c r="B320" t="s">
        <v>164</v>
      </c>
      <c r="C320" t="s">
        <v>165</v>
      </c>
      <c r="D320" s="51" t="str">
        <f>VLOOKUP(C320,'Shift Codes'!$A$1:$K$36,2,FALSE)</f>
        <v>M-F</v>
      </c>
      <c r="E320" s="51" t="str">
        <f>VLOOKUP(C320,'Shift Codes'!$A$1:$K$36,3,FALSE)</f>
        <v>NIT</v>
      </c>
    </row>
    <row r="321" spans="1:5" x14ac:dyDescent="0.35">
      <c r="A321" s="50">
        <v>203435265</v>
      </c>
      <c r="B321" t="s">
        <v>166</v>
      </c>
      <c r="C321" t="s">
        <v>165</v>
      </c>
      <c r="D321" s="51" t="str">
        <f>VLOOKUP(C321,'Shift Codes'!$A$1:$K$36,2,FALSE)</f>
        <v>M-F</v>
      </c>
      <c r="E321" s="51" t="str">
        <f>VLOOKUP(C321,'Shift Codes'!$A$1:$K$36,3,FALSE)</f>
        <v>NIT</v>
      </c>
    </row>
    <row r="322" spans="1:5" x14ac:dyDescent="0.35">
      <c r="A322" s="50">
        <v>203435265</v>
      </c>
      <c r="B322" t="s">
        <v>166</v>
      </c>
      <c r="C322" t="s">
        <v>165</v>
      </c>
      <c r="D322" s="51" t="str">
        <f>VLOOKUP(C322,'Shift Codes'!$A$1:$K$36,2,FALSE)</f>
        <v>M-F</v>
      </c>
      <c r="E322" s="51" t="str">
        <f>VLOOKUP(C322,'Shift Codes'!$A$1:$K$36,3,FALSE)</f>
        <v>NIT</v>
      </c>
    </row>
    <row r="323" spans="1:5" x14ac:dyDescent="0.35">
      <c r="A323" s="50">
        <v>203252792</v>
      </c>
      <c r="B323" t="s">
        <v>167</v>
      </c>
      <c r="C323" t="s">
        <v>165</v>
      </c>
      <c r="D323" s="51" t="str">
        <f>VLOOKUP(C323,'Shift Codes'!$A$1:$K$36,2,FALSE)</f>
        <v>M-F</v>
      </c>
      <c r="E323" s="51" t="str">
        <f>VLOOKUP(C323,'Shift Codes'!$A$1:$K$36,3,FALSE)</f>
        <v>NIT</v>
      </c>
    </row>
    <row r="324" spans="1:5" x14ac:dyDescent="0.35">
      <c r="A324" s="50">
        <v>203252792</v>
      </c>
      <c r="B324" t="s">
        <v>167</v>
      </c>
      <c r="C324" t="s">
        <v>165</v>
      </c>
      <c r="D324" s="51" t="str">
        <f>VLOOKUP(C324,'Shift Codes'!$A$1:$K$36,2,FALSE)</f>
        <v>M-F</v>
      </c>
      <c r="E324" s="51" t="str">
        <f>VLOOKUP(C324,'Shift Codes'!$A$1:$K$36,3,FALSE)</f>
        <v>NIT</v>
      </c>
    </row>
    <row r="325" spans="1:5" x14ac:dyDescent="0.35">
      <c r="A325" s="50">
        <v>203227844</v>
      </c>
      <c r="B325" t="s">
        <v>168</v>
      </c>
      <c r="C325" t="s">
        <v>165</v>
      </c>
      <c r="D325" s="51" t="str">
        <f>VLOOKUP(C325,'Shift Codes'!$A$1:$K$36,2,FALSE)</f>
        <v>M-F</v>
      </c>
      <c r="E325" s="51" t="str">
        <f>VLOOKUP(C325,'Shift Codes'!$A$1:$K$36,3,FALSE)</f>
        <v>NIT</v>
      </c>
    </row>
    <row r="326" spans="1:5" x14ac:dyDescent="0.35">
      <c r="A326" s="50">
        <v>203227844</v>
      </c>
      <c r="B326" t="s">
        <v>168</v>
      </c>
      <c r="C326" t="s">
        <v>165</v>
      </c>
      <c r="D326" s="51" t="str">
        <f>VLOOKUP(C326,'Shift Codes'!$A$1:$K$36,2,FALSE)</f>
        <v>M-F</v>
      </c>
      <c r="E326" s="51" t="str">
        <f>VLOOKUP(C326,'Shift Codes'!$A$1:$K$36,3,FALSE)</f>
        <v>NIT</v>
      </c>
    </row>
    <row r="327" spans="1:5" x14ac:dyDescent="0.35">
      <c r="A327" s="50">
        <v>202681400</v>
      </c>
      <c r="B327" t="s">
        <v>169</v>
      </c>
      <c r="C327" t="s">
        <v>165</v>
      </c>
      <c r="D327" s="51" t="str">
        <f>VLOOKUP(C327,'Shift Codes'!$A$1:$K$36,2,FALSE)</f>
        <v>M-F</v>
      </c>
      <c r="E327" s="51" t="str">
        <f>VLOOKUP(C327,'Shift Codes'!$A$1:$K$36,3,FALSE)</f>
        <v>NIT</v>
      </c>
    </row>
    <row r="328" spans="1:5" x14ac:dyDescent="0.35">
      <c r="A328" s="50">
        <v>202681400</v>
      </c>
      <c r="B328" t="s">
        <v>169</v>
      </c>
      <c r="C328" t="s">
        <v>165</v>
      </c>
      <c r="D328" s="51" t="str">
        <f>VLOOKUP(C328,'Shift Codes'!$A$1:$K$36,2,FALSE)</f>
        <v>M-F</v>
      </c>
      <c r="E328" s="51" t="str">
        <f>VLOOKUP(C328,'Shift Codes'!$A$1:$K$36,3,FALSE)</f>
        <v>NIT</v>
      </c>
    </row>
    <row r="329" spans="1:5" x14ac:dyDescent="0.35">
      <c r="A329" s="50">
        <v>202520207</v>
      </c>
      <c r="B329" t="s">
        <v>170</v>
      </c>
      <c r="C329" t="s">
        <v>165</v>
      </c>
      <c r="D329" s="51" t="str">
        <f>VLOOKUP(C329,'Shift Codes'!$A$1:$K$36,2,FALSE)</f>
        <v>M-F</v>
      </c>
      <c r="E329" s="51" t="str">
        <f>VLOOKUP(C329,'Shift Codes'!$A$1:$K$36,3,FALSE)</f>
        <v>NIT</v>
      </c>
    </row>
    <row r="330" spans="1:5" x14ac:dyDescent="0.35">
      <c r="A330" s="50">
        <v>202520207</v>
      </c>
      <c r="B330" t="s">
        <v>170</v>
      </c>
      <c r="C330" t="s">
        <v>165</v>
      </c>
      <c r="D330" s="51" t="str">
        <f>VLOOKUP(C330,'Shift Codes'!$A$1:$K$36,2,FALSE)</f>
        <v>M-F</v>
      </c>
      <c r="E330" s="51" t="str">
        <f>VLOOKUP(C330,'Shift Codes'!$A$1:$K$36,3,FALSE)</f>
        <v>NIT</v>
      </c>
    </row>
    <row r="331" spans="1:5" x14ac:dyDescent="0.35">
      <c r="A331" s="50">
        <v>202493926</v>
      </c>
      <c r="B331" t="s">
        <v>171</v>
      </c>
      <c r="C331" t="s">
        <v>165</v>
      </c>
      <c r="D331" s="51" t="str">
        <f>VLOOKUP(C331,'Shift Codes'!$A$1:$K$36,2,FALSE)</f>
        <v>M-F</v>
      </c>
      <c r="E331" s="51" t="str">
        <f>VLOOKUP(C331,'Shift Codes'!$A$1:$K$36,3,FALSE)</f>
        <v>NIT</v>
      </c>
    </row>
    <row r="332" spans="1:5" x14ac:dyDescent="0.35">
      <c r="A332" s="50">
        <v>202493926</v>
      </c>
      <c r="B332" t="s">
        <v>171</v>
      </c>
      <c r="C332" t="s">
        <v>165</v>
      </c>
      <c r="D332" s="51" t="str">
        <f>VLOOKUP(C332,'Shift Codes'!$A$1:$K$36,2,FALSE)</f>
        <v>M-F</v>
      </c>
      <c r="E332" s="51" t="str">
        <f>VLOOKUP(C332,'Shift Codes'!$A$1:$K$36,3,FALSE)</f>
        <v>NIT</v>
      </c>
    </row>
    <row r="333" spans="1:5" x14ac:dyDescent="0.35">
      <c r="A333" s="50">
        <v>202141353</v>
      </c>
      <c r="B333" t="s">
        <v>172</v>
      </c>
      <c r="C333" t="s">
        <v>165</v>
      </c>
      <c r="D333" s="51" t="str">
        <f>VLOOKUP(C333,'Shift Codes'!$A$1:$K$36,2,FALSE)</f>
        <v>M-F</v>
      </c>
      <c r="E333" s="51" t="str">
        <f>VLOOKUP(C333,'Shift Codes'!$A$1:$K$36,3,FALSE)</f>
        <v>NIT</v>
      </c>
    </row>
    <row r="334" spans="1:5" x14ac:dyDescent="0.35">
      <c r="A334" s="50">
        <v>202141353</v>
      </c>
      <c r="B334" t="s">
        <v>172</v>
      </c>
      <c r="C334" t="s">
        <v>165</v>
      </c>
      <c r="D334" s="51" t="str">
        <f>VLOOKUP(C334,'Shift Codes'!$A$1:$K$36,2,FALSE)</f>
        <v>M-F</v>
      </c>
      <c r="E334" s="51" t="str">
        <f>VLOOKUP(C334,'Shift Codes'!$A$1:$K$36,3,FALSE)</f>
        <v>NIT</v>
      </c>
    </row>
    <row r="335" spans="1:5" x14ac:dyDescent="0.35">
      <c r="A335" s="50">
        <v>201762560</v>
      </c>
      <c r="B335" t="s">
        <v>173</v>
      </c>
      <c r="C335" t="s">
        <v>165</v>
      </c>
      <c r="D335" s="51" t="str">
        <f>VLOOKUP(C335,'Shift Codes'!$A$1:$K$36,2,FALSE)</f>
        <v>M-F</v>
      </c>
      <c r="E335" s="51" t="str">
        <f>VLOOKUP(C335,'Shift Codes'!$A$1:$K$36,3,FALSE)</f>
        <v>NIT</v>
      </c>
    </row>
    <row r="336" spans="1:5" x14ac:dyDescent="0.35">
      <c r="A336" s="50">
        <v>201762560</v>
      </c>
      <c r="B336" t="s">
        <v>173</v>
      </c>
      <c r="C336" t="s">
        <v>165</v>
      </c>
      <c r="D336" s="51" t="str">
        <f>VLOOKUP(C336,'Shift Codes'!$A$1:$K$36,2,FALSE)</f>
        <v>M-F</v>
      </c>
      <c r="E336" s="51" t="str">
        <f>VLOOKUP(C336,'Shift Codes'!$A$1:$K$36,3,FALSE)</f>
        <v>NIT</v>
      </c>
    </row>
    <row r="337" spans="1:5" x14ac:dyDescent="0.35">
      <c r="A337" s="50">
        <v>201489064</v>
      </c>
      <c r="B337" t="s">
        <v>174</v>
      </c>
      <c r="C337" t="s">
        <v>165</v>
      </c>
      <c r="D337" s="51" t="str">
        <f>VLOOKUP(C337,'Shift Codes'!$A$1:$K$36,2,FALSE)</f>
        <v>M-F</v>
      </c>
      <c r="E337" s="51" t="str">
        <f>VLOOKUP(C337,'Shift Codes'!$A$1:$K$36,3,FALSE)</f>
        <v>NIT</v>
      </c>
    </row>
    <row r="338" spans="1:5" x14ac:dyDescent="0.35">
      <c r="A338" s="50">
        <v>201489064</v>
      </c>
      <c r="B338" t="s">
        <v>174</v>
      </c>
      <c r="C338" t="s">
        <v>165</v>
      </c>
      <c r="D338" s="51" t="str">
        <f>VLOOKUP(C338,'Shift Codes'!$A$1:$K$36,2,FALSE)</f>
        <v>M-F</v>
      </c>
      <c r="E338" s="51" t="str">
        <f>VLOOKUP(C338,'Shift Codes'!$A$1:$K$36,3,FALSE)</f>
        <v>NIT</v>
      </c>
    </row>
    <row r="339" spans="1:5" x14ac:dyDescent="0.35">
      <c r="A339" s="50">
        <v>201383076</v>
      </c>
      <c r="B339" t="s">
        <v>175</v>
      </c>
      <c r="C339" t="s">
        <v>165</v>
      </c>
      <c r="D339" s="51" t="str">
        <f>VLOOKUP(C339,'Shift Codes'!$A$1:$K$36,2,FALSE)</f>
        <v>M-F</v>
      </c>
      <c r="E339" s="51" t="str">
        <f>VLOOKUP(C339,'Shift Codes'!$A$1:$K$36,3,FALSE)</f>
        <v>NIT</v>
      </c>
    </row>
    <row r="340" spans="1:5" x14ac:dyDescent="0.35">
      <c r="A340" s="50">
        <v>201383076</v>
      </c>
      <c r="B340" t="s">
        <v>175</v>
      </c>
      <c r="C340" t="s">
        <v>165</v>
      </c>
      <c r="D340" s="51" t="str">
        <f>VLOOKUP(C340,'Shift Codes'!$A$1:$K$36,2,FALSE)</f>
        <v>M-F</v>
      </c>
      <c r="E340" s="51" t="str">
        <f>VLOOKUP(C340,'Shift Codes'!$A$1:$K$36,3,FALSE)</f>
        <v>NIT</v>
      </c>
    </row>
    <row r="341" spans="1:5" x14ac:dyDescent="0.35">
      <c r="A341" s="50">
        <v>201342575</v>
      </c>
      <c r="B341" t="s">
        <v>176</v>
      </c>
      <c r="C341" t="s">
        <v>165</v>
      </c>
      <c r="D341" s="51" t="str">
        <f>VLOOKUP(C341,'Shift Codes'!$A$1:$K$36,2,FALSE)</f>
        <v>M-F</v>
      </c>
      <c r="E341" s="51" t="str">
        <f>VLOOKUP(C341,'Shift Codes'!$A$1:$K$36,3,FALSE)</f>
        <v>NIT</v>
      </c>
    </row>
    <row r="342" spans="1:5" x14ac:dyDescent="0.35">
      <c r="A342" s="50">
        <v>201342575</v>
      </c>
      <c r="B342" t="s">
        <v>176</v>
      </c>
      <c r="C342" t="s">
        <v>165</v>
      </c>
      <c r="D342" s="51" t="str">
        <f>VLOOKUP(C342,'Shift Codes'!$A$1:$K$36,2,FALSE)</f>
        <v>M-F</v>
      </c>
      <c r="E342" s="51" t="str">
        <f>VLOOKUP(C342,'Shift Codes'!$A$1:$K$36,3,FALSE)</f>
        <v>NIT</v>
      </c>
    </row>
    <row r="343" spans="1:5" x14ac:dyDescent="0.35">
      <c r="A343" s="50">
        <v>201095804</v>
      </c>
      <c r="B343" t="s">
        <v>177</v>
      </c>
      <c r="C343" t="s">
        <v>165</v>
      </c>
      <c r="D343" s="51" t="str">
        <f>VLOOKUP(C343,'Shift Codes'!$A$1:$K$36,2,FALSE)</f>
        <v>M-F</v>
      </c>
      <c r="E343" s="51" t="str">
        <f>VLOOKUP(C343,'Shift Codes'!$A$1:$K$36,3,FALSE)</f>
        <v>NIT</v>
      </c>
    </row>
    <row r="344" spans="1:5" x14ac:dyDescent="0.35">
      <c r="A344" s="50">
        <v>201095804</v>
      </c>
      <c r="B344" t="s">
        <v>177</v>
      </c>
      <c r="C344" t="s">
        <v>165</v>
      </c>
      <c r="D344" s="51" t="str">
        <f>VLOOKUP(C344,'Shift Codes'!$A$1:$K$36,2,FALSE)</f>
        <v>M-F</v>
      </c>
      <c r="E344" s="51" t="str">
        <f>VLOOKUP(C344,'Shift Codes'!$A$1:$K$36,3,FALSE)</f>
        <v>NIT</v>
      </c>
    </row>
    <row r="345" spans="1:5" x14ac:dyDescent="0.35">
      <c r="A345" s="50">
        <v>200929382</v>
      </c>
      <c r="B345" t="s">
        <v>178</v>
      </c>
      <c r="C345" t="s">
        <v>165</v>
      </c>
      <c r="D345" s="51" t="str">
        <f>VLOOKUP(C345,'Shift Codes'!$A$1:$K$36,2,FALSE)</f>
        <v>M-F</v>
      </c>
      <c r="E345" s="51" t="str">
        <f>VLOOKUP(C345,'Shift Codes'!$A$1:$K$36,3,FALSE)</f>
        <v>NIT</v>
      </c>
    </row>
    <row r="346" spans="1:5" x14ac:dyDescent="0.35">
      <c r="A346" s="50">
        <v>200844261</v>
      </c>
      <c r="B346" t="s">
        <v>179</v>
      </c>
      <c r="C346" t="s">
        <v>165</v>
      </c>
      <c r="D346" s="51" t="str">
        <f>VLOOKUP(C346,'Shift Codes'!$A$1:$K$36,2,FALSE)</f>
        <v>M-F</v>
      </c>
      <c r="E346" s="51" t="str">
        <f>VLOOKUP(C346,'Shift Codes'!$A$1:$K$36,3,FALSE)</f>
        <v>NIT</v>
      </c>
    </row>
    <row r="347" spans="1:5" x14ac:dyDescent="0.35">
      <c r="A347" s="50">
        <v>200844261</v>
      </c>
      <c r="B347" t="s">
        <v>179</v>
      </c>
      <c r="C347" t="s">
        <v>165</v>
      </c>
      <c r="D347" s="51" t="str">
        <f>VLOOKUP(C347,'Shift Codes'!$A$1:$K$36,2,FALSE)</f>
        <v>M-F</v>
      </c>
      <c r="E347" s="51" t="str">
        <f>VLOOKUP(C347,'Shift Codes'!$A$1:$K$36,3,FALSE)</f>
        <v>NIT</v>
      </c>
    </row>
    <row r="348" spans="1:5" x14ac:dyDescent="0.35">
      <c r="A348" s="50">
        <v>112625040</v>
      </c>
      <c r="B348" t="s">
        <v>180</v>
      </c>
      <c r="C348" t="s">
        <v>165</v>
      </c>
      <c r="D348" s="51" t="str">
        <f>VLOOKUP(C348,'Shift Codes'!$A$1:$K$36,2,FALSE)</f>
        <v>M-F</v>
      </c>
      <c r="E348" s="51" t="str">
        <f>VLOOKUP(C348,'Shift Codes'!$A$1:$K$36,3,FALSE)</f>
        <v>NIT</v>
      </c>
    </row>
    <row r="349" spans="1:5" x14ac:dyDescent="0.35">
      <c r="A349" s="50">
        <v>112625040</v>
      </c>
      <c r="B349" t="s">
        <v>180</v>
      </c>
      <c r="C349" t="s">
        <v>165</v>
      </c>
      <c r="D349" s="51" t="str">
        <f>VLOOKUP(C349,'Shift Codes'!$A$1:$K$36,2,FALSE)</f>
        <v>M-F</v>
      </c>
      <c r="E349" s="51" t="str">
        <f>VLOOKUP(C349,'Shift Codes'!$A$1:$K$36,3,FALSE)</f>
        <v>NIT</v>
      </c>
    </row>
    <row r="350" spans="1:5" x14ac:dyDescent="0.35">
      <c r="A350" s="50">
        <v>112066771</v>
      </c>
      <c r="B350" t="s">
        <v>181</v>
      </c>
      <c r="C350" t="s">
        <v>165</v>
      </c>
      <c r="D350" s="51" t="str">
        <f>VLOOKUP(C350,'Shift Codes'!$A$1:$K$36,2,FALSE)</f>
        <v>M-F</v>
      </c>
      <c r="E350" s="51" t="str">
        <f>VLOOKUP(C350,'Shift Codes'!$A$1:$K$36,3,FALSE)</f>
        <v>NIT</v>
      </c>
    </row>
    <row r="351" spans="1:5" x14ac:dyDescent="0.35">
      <c r="A351" s="50">
        <v>112066771</v>
      </c>
      <c r="B351" t="s">
        <v>181</v>
      </c>
      <c r="C351" t="s">
        <v>165</v>
      </c>
      <c r="D351" s="51" t="str">
        <f>VLOOKUP(C351,'Shift Codes'!$A$1:$K$36,2,FALSE)</f>
        <v>M-F</v>
      </c>
      <c r="E351" s="51" t="str">
        <f>VLOOKUP(C351,'Shift Codes'!$A$1:$K$36,3,FALSE)</f>
        <v>NIT</v>
      </c>
    </row>
    <row r="352" spans="1:5" x14ac:dyDescent="0.35">
      <c r="A352" s="50">
        <v>204771503</v>
      </c>
      <c r="B352" t="s">
        <v>469</v>
      </c>
      <c r="C352" t="s">
        <v>97</v>
      </c>
      <c r="D352" s="51" t="str">
        <f>VLOOKUP(C352,'Shift Codes'!$A$1:$K$36,2,FALSE)</f>
        <v>Sa-W</v>
      </c>
      <c r="E352" s="51" t="str">
        <f>VLOOKUP(C352,'Shift Codes'!$A$1:$K$36,3,FALSE)</f>
        <v>TWI</v>
      </c>
    </row>
    <row r="353" spans="1:5" x14ac:dyDescent="0.35">
      <c r="A353" s="50">
        <v>204771481</v>
      </c>
      <c r="B353" t="s">
        <v>503</v>
      </c>
      <c r="C353" t="s">
        <v>97</v>
      </c>
      <c r="D353" s="51" t="str">
        <f>VLOOKUP(C353,'Shift Codes'!$A$1:$K$36,2,FALSE)</f>
        <v>Sa-W</v>
      </c>
      <c r="E353" s="51" t="str">
        <f>VLOOKUP(C353,'Shift Codes'!$A$1:$K$36,3,FALSE)</f>
        <v>TWI</v>
      </c>
    </row>
    <row r="354" spans="1:5" x14ac:dyDescent="0.35">
      <c r="A354" s="50">
        <v>204555354</v>
      </c>
      <c r="B354" t="s">
        <v>474</v>
      </c>
      <c r="C354" t="s">
        <v>97</v>
      </c>
      <c r="D354" s="51" t="str">
        <f>VLOOKUP(C354,'Shift Codes'!$A$1:$K$36,2,FALSE)</f>
        <v>Sa-W</v>
      </c>
      <c r="E354" s="51" t="str">
        <f>VLOOKUP(C354,'Shift Codes'!$A$1:$K$36,3,FALSE)</f>
        <v>TWI</v>
      </c>
    </row>
    <row r="355" spans="1:5" x14ac:dyDescent="0.35">
      <c r="A355" s="50">
        <v>204555192</v>
      </c>
      <c r="B355" t="s">
        <v>482</v>
      </c>
      <c r="C355" t="s">
        <v>97</v>
      </c>
      <c r="D355" s="51" t="str">
        <f>VLOOKUP(C355,'Shift Codes'!$A$1:$K$36,2,FALSE)</f>
        <v>Sa-W</v>
      </c>
      <c r="E355" s="51" t="str">
        <f>VLOOKUP(C355,'Shift Codes'!$A$1:$K$36,3,FALSE)</f>
        <v>TWI</v>
      </c>
    </row>
    <row r="356" spans="1:5" x14ac:dyDescent="0.35">
      <c r="A356" s="50">
        <v>204181943</v>
      </c>
      <c r="B356" t="s">
        <v>96</v>
      </c>
      <c r="C356" t="s">
        <v>97</v>
      </c>
      <c r="D356" s="51" t="str">
        <f>VLOOKUP(C356,'Shift Codes'!$A$1:$K$36,2,FALSE)</f>
        <v>Sa-W</v>
      </c>
      <c r="E356" s="51" t="str">
        <f>VLOOKUP(C356,'Shift Codes'!$A$1:$K$36,3,FALSE)</f>
        <v>TWI</v>
      </c>
    </row>
    <row r="357" spans="1:5" x14ac:dyDescent="0.35">
      <c r="A357" s="50">
        <v>203710280</v>
      </c>
      <c r="B357" t="s">
        <v>464</v>
      </c>
      <c r="C357" t="s">
        <v>97</v>
      </c>
      <c r="D357" s="51" t="str">
        <f>VLOOKUP(C357,'Shift Codes'!$A$1:$K$36,2,FALSE)</f>
        <v>Sa-W</v>
      </c>
      <c r="E357" s="51" t="str">
        <f>VLOOKUP(C357,'Shift Codes'!$A$1:$K$36,3,FALSE)</f>
        <v>TWI</v>
      </c>
    </row>
    <row r="358" spans="1:5" x14ac:dyDescent="0.35">
      <c r="A358" s="50">
        <v>203676862</v>
      </c>
      <c r="B358" t="s">
        <v>357</v>
      </c>
      <c r="C358" t="s">
        <v>97</v>
      </c>
      <c r="D358" s="51" t="str">
        <f>VLOOKUP(C358,'Shift Codes'!$A$1:$K$36,2,FALSE)</f>
        <v>Sa-W</v>
      </c>
      <c r="E358" s="51" t="str">
        <f>VLOOKUP(C358,'Shift Codes'!$A$1:$K$36,3,FALSE)</f>
        <v>TWI</v>
      </c>
    </row>
    <row r="359" spans="1:5" x14ac:dyDescent="0.35">
      <c r="A359" s="50">
        <v>202024231</v>
      </c>
      <c r="B359" t="s">
        <v>541</v>
      </c>
      <c r="C359" t="s">
        <v>97</v>
      </c>
      <c r="D359" s="51" t="str">
        <f>VLOOKUP(C359,'Shift Codes'!$A$1:$K$36,2,FALSE)</f>
        <v>Sa-W</v>
      </c>
      <c r="E359" s="51" t="str">
        <f>VLOOKUP(C359,'Shift Codes'!$A$1:$K$36,3,FALSE)</f>
        <v>TWI</v>
      </c>
    </row>
    <row r="360" spans="1:5" x14ac:dyDescent="0.35">
      <c r="A360" s="50">
        <v>201599260</v>
      </c>
      <c r="B360" t="s">
        <v>531</v>
      </c>
      <c r="C360" t="s">
        <v>97</v>
      </c>
      <c r="D360" s="51" t="str">
        <f>VLOOKUP(C360,'Shift Codes'!$A$1:$K$36,2,FALSE)</f>
        <v>Sa-W</v>
      </c>
      <c r="E360" s="51" t="str">
        <f>VLOOKUP(C360,'Shift Codes'!$A$1:$K$36,3,FALSE)</f>
        <v>TWI</v>
      </c>
    </row>
    <row r="361" spans="1:5" x14ac:dyDescent="0.35">
      <c r="A361" s="50">
        <v>201011206</v>
      </c>
      <c r="B361" t="s">
        <v>542</v>
      </c>
      <c r="C361" t="s">
        <v>97</v>
      </c>
      <c r="D361" s="51" t="str">
        <f>VLOOKUP(C361,'Shift Codes'!$A$1:$K$36,2,FALSE)</f>
        <v>Sa-W</v>
      </c>
      <c r="E361" s="51" t="str">
        <f>VLOOKUP(C361,'Shift Codes'!$A$1:$K$36,3,FALSE)</f>
        <v>TWI</v>
      </c>
    </row>
    <row r="362" spans="1:5" x14ac:dyDescent="0.35">
      <c r="A362" s="50">
        <v>200821607</v>
      </c>
      <c r="B362" t="s">
        <v>355</v>
      </c>
      <c r="C362" t="s">
        <v>97</v>
      </c>
      <c r="D362" s="51" t="str">
        <f>VLOOKUP(C362,'Shift Codes'!$A$1:$K$36,2,FALSE)</f>
        <v>Sa-W</v>
      </c>
      <c r="E362" s="51" t="str">
        <f>VLOOKUP(C362,'Shift Codes'!$A$1:$K$36,3,FALSE)</f>
        <v>TWI</v>
      </c>
    </row>
    <row r="363" spans="1:5" x14ac:dyDescent="0.35">
      <c r="A363" s="50">
        <v>112889113</v>
      </c>
      <c r="B363" t="s">
        <v>510</v>
      </c>
      <c r="C363" t="s">
        <v>97</v>
      </c>
      <c r="D363" s="51" t="str">
        <f>VLOOKUP(C363,'Shift Codes'!$A$1:$K$36,2,FALSE)</f>
        <v>Sa-W</v>
      </c>
      <c r="E363" s="51" t="str">
        <f>VLOOKUP(C363,'Shift Codes'!$A$1:$K$36,3,FALSE)</f>
        <v>TWI</v>
      </c>
    </row>
    <row r="364" spans="1:5" x14ac:dyDescent="0.35">
      <c r="A364" s="50">
        <v>110735491</v>
      </c>
      <c r="B364" t="s">
        <v>358</v>
      </c>
      <c r="C364" t="s">
        <v>97</v>
      </c>
      <c r="D364" s="51" t="str">
        <f>VLOOKUP(C364,'Shift Codes'!$A$1:$K$36,2,FALSE)</f>
        <v>Sa-W</v>
      </c>
      <c r="E364" s="51" t="str">
        <f>VLOOKUP(C364,'Shift Codes'!$A$1:$K$36,3,FALSE)</f>
        <v>TWI</v>
      </c>
    </row>
    <row r="365" spans="1:5" x14ac:dyDescent="0.35">
      <c r="A365" s="50">
        <v>107953871</v>
      </c>
      <c r="B365" t="s">
        <v>506</v>
      </c>
      <c r="C365" t="s">
        <v>97</v>
      </c>
      <c r="D365" s="51" t="str">
        <f>VLOOKUP(C365,'Shift Codes'!$A$1:$K$36,2,FALSE)</f>
        <v>Sa-W</v>
      </c>
      <c r="E365" s="51" t="str">
        <f>VLOOKUP(C365,'Shift Codes'!$A$1:$K$36,3,FALSE)</f>
        <v>TWI</v>
      </c>
    </row>
    <row r="366" spans="1:5" x14ac:dyDescent="0.35">
      <c r="A366" s="50">
        <v>100792395</v>
      </c>
      <c r="B366" t="s">
        <v>517</v>
      </c>
      <c r="C366" t="s">
        <v>97</v>
      </c>
      <c r="D366" s="51" t="str">
        <f>VLOOKUP(C366,'Shift Codes'!$A$1:$K$36,2,FALSE)</f>
        <v>Sa-W</v>
      </c>
      <c r="E366" s="51" t="str">
        <f>VLOOKUP(C366,'Shift Codes'!$A$1:$K$36,3,FALSE)</f>
        <v>TWI</v>
      </c>
    </row>
    <row r="367" spans="1:5" x14ac:dyDescent="0.35">
      <c r="A367" s="50">
        <v>204688256</v>
      </c>
      <c r="B367" t="s">
        <v>480</v>
      </c>
      <c r="C367" t="s">
        <v>419</v>
      </c>
      <c r="D367" s="51" t="str">
        <f>VLOOKUP(C367,'Shift Codes'!$A$1:$K$36,2,FALSE)</f>
        <v>Tu-Sa</v>
      </c>
      <c r="E367" s="51" t="str">
        <f>VLOOKUP(C367,'Shift Codes'!$A$1:$K$36,3,FALSE)</f>
        <v>SUN</v>
      </c>
    </row>
    <row r="368" spans="1:5" x14ac:dyDescent="0.35">
      <c r="A368" s="50">
        <v>204511030</v>
      </c>
      <c r="B368" t="s">
        <v>530</v>
      </c>
      <c r="C368" t="s">
        <v>419</v>
      </c>
      <c r="D368" s="51" t="str">
        <f>VLOOKUP(C368,'Shift Codes'!$A$1:$K$36,2,FALSE)</f>
        <v>Tu-Sa</v>
      </c>
      <c r="E368" s="51" t="str">
        <f>VLOOKUP(C368,'Shift Codes'!$A$1:$K$36,3,FALSE)</f>
        <v>SUN</v>
      </c>
    </row>
    <row r="369" spans="1:5" x14ac:dyDescent="0.35">
      <c r="A369" s="50">
        <v>204148473</v>
      </c>
      <c r="B369" t="s">
        <v>331</v>
      </c>
      <c r="C369" t="s">
        <v>419</v>
      </c>
      <c r="D369" s="51" t="str">
        <f>VLOOKUP(C369,'Shift Codes'!$A$1:$K$36,2,FALSE)</f>
        <v>Tu-Sa</v>
      </c>
      <c r="E369" s="51" t="str">
        <f>VLOOKUP(C369,'Shift Codes'!$A$1:$K$36,3,FALSE)</f>
        <v>SUN</v>
      </c>
    </row>
    <row r="370" spans="1:5" x14ac:dyDescent="0.35">
      <c r="A370" s="50">
        <v>204148433</v>
      </c>
      <c r="B370" t="s">
        <v>556</v>
      </c>
      <c r="C370" t="s">
        <v>419</v>
      </c>
      <c r="D370" s="51" t="str">
        <f>VLOOKUP(C370,'Shift Codes'!$A$1:$K$36,2,FALSE)</f>
        <v>Tu-Sa</v>
      </c>
      <c r="E370" s="51" t="str">
        <f>VLOOKUP(C370,'Shift Codes'!$A$1:$K$36,3,FALSE)</f>
        <v>SUN</v>
      </c>
    </row>
    <row r="371" spans="1:5" x14ac:dyDescent="0.35">
      <c r="A371" s="50">
        <v>203646226</v>
      </c>
      <c r="B371" t="s">
        <v>308</v>
      </c>
      <c r="C371" t="s">
        <v>419</v>
      </c>
      <c r="D371" s="51" t="str">
        <f>VLOOKUP(C371,'Shift Codes'!$A$1:$K$36,2,FALSE)</f>
        <v>Tu-Sa</v>
      </c>
      <c r="E371" s="51" t="str">
        <f>VLOOKUP(C371,'Shift Codes'!$A$1:$K$36,3,FALSE)</f>
        <v>SUN</v>
      </c>
    </row>
    <row r="372" spans="1:5" x14ac:dyDescent="0.35">
      <c r="A372" s="50">
        <v>203552398</v>
      </c>
      <c r="B372" t="s">
        <v>560</v>
      </c>
      <c r="C372" t="s">
        <v>419</v>
      </c>
      <c r="D372" s="51" t="str">
        <f>VLOOKUP(C372,'Shift Codes'!$A$1:$K$36,2,FALSE)</f>
        <v>Tu-Sa</v>
      </c>
      <c r="E372" s="51" t="str">
        <f>VLOOKUP(C372,'Shift Codes'!$A$1:$K$36,3,FALSE)</f>
        <v>SUN</v>
      </c>
    </row>
    <row r="373" spans="1:5" x14ac:dyDescent="0.35">
      <c r="A373" s="50">
        <v>203552368</v>
      </c>
      <c r="B373" t="s">
        <v>298</v>
      </c>
      <c r="C373" t="s">
        <v>419</v>
      </c>
      <c r="D373" s="51" t="str">
        <f>VLOOKUP(C373,'Shift Codes'!$A$1:$K$36,2,FALSE)</f>
        <v>Tu-Sa</v>
      </c>
      <c r="E373" s="51" t="str">
        <f>VLOOKUP(C373,'Shift Codes'!$A$1:$K$36,3,FALSE)</f>
        <v>SUN</v>
      </c>
    </row>
    <row r="374" spans="1:5" x14ac:dyDescent="0.35">
      <c r="A374" s="50">
        <v>203324868</v>
      </c>
      <c r="B374" t="s">
        <v>312</v>
      </c>
      <c r="C374" t="s">
        <v>419</v>
      </c>
      <c r="D374" s="51" t="str">
        <f>VLOOKUP(C374,'Shift Codes'!$A$1:$K$36,2,FALSE)</f>
        <v>Tu-Sa</v>
      </c>
      <c r="E374" s="51" t="str">
        <f>VLOOKUP(C374,'Shift Codes'!$A$1:$K$36,3,FALSE)</f>
        <v>SUN</v>
      </c>
    </row>
    <row r="375" spans="1:5" x14ac:dyDescent="0.35">
      <c r="A375" s="50">
        <v>203324867</v>
      </c>
      <c r="B375" t="s">
        <v>318</v>
      </c>
      <c r="C375" t="s">
        <v>419</v>
      </c>
      <c r="D375" s="51" t="str">
        <f>VLOOKUP(C375,'Shift Codes'!$A$1:$K$36,2,FALSE)</f>
        <v>Tu-Sa</v>
      </c>
      <c r="E375" s="51" t="str">
        <f>VLOOKUP(C375,'Shift Codes'!$A$1:$K$36,3,FALSE)</f>
        <v>SUN</v>
      </c>
    </row>
    <row r="376" spans="1:5" x14ac:dyDescent="0.35">
      <c r="A376" s="50">
        <v>202884019</v>
      </c>
      <c r="B376" t="s">
        <v>305</v>
      </c>
      <c r="C376" t="s">
        <v>419</v>
      </c>
      <c r="D376" s="51" t="str">
        <f>VLOOKUP(C376,'Shift Codes'!$A$1:$K$36,2,FALSE)</f>
        <v>Tu-Sa</v>
      </c>
      <c r="E376" s="51" t="str">
        <f>VLOOKUP(C376,'Shift Codes'!$A$1:$K$36,3,FALSE)</f>
        <v>SUN</v>
      </c>
    </row>
    <row r="377" spans="1:5" x14ac:dyDescent="0.35">
      <c r="A377" s="50">
        <v>202815399</v>
      </c>
      <c r="B377" t="s">
        <v>341</v>
      </c>
      <c r="C377" t="s">
        <v>419</v>
      </c>
      <c r="D377" s="51" t="str">
        <f>VLOOKUP(C377,'Shift Codes'!$A$1:$K$36,2,FALSE)</f>
        <v>Tu-Sa</v>
      </c>
      <c r="E377" s="51" t="str">
        <f>VLOOKUP(C377,'Shift Codes'!$A$1:$K$36,3,FALSE)</f>
        <v>SUN</v>
      </c>
    </row>
    <row r="378" spans="1:5" x14ac:dyDescent="0.35">
      <c r="A378" s="50">
        <v>200919151</v>
      </c>
      <c r="B378" t="s">
        <v>302</v>
      </c>
      <c r="C378" t="s">
        <v>419</v>
      </c>
      <c r="D378" s="51" t="str">
        <f>VLOOKUP(C378,'Shift Codes'!$A$1:$K$36,2,FALSE)</f>
        <v>Tu-Sa</v>
      </c>
      <c r="E378" s="51" t="str">
        <f>VLOOKUP(C378,'Shift Codes'!$A$1:$K$36,3,FALSE)</f>
        <v>SUN</v>
      </c>
    </row>
    <row r="379" spans="1:5" x14ac:dyDescent="0.35">
      <c r="A379" s="50">
        <v>108834024</v>
      </c>
      <c r="B379" t="s">
        <v>323</v>
      </c>
      <c r="C379" t="s">
        <v>419</v>
      </c>
      <c r="D379" s="51" t="str">
        <f>VLOOKUP(C379,'Shift Codes'!$A$1:$K$36,2,FALSE)</f>
        <v>Tu-Sa</v>
      </c>
      <c r="E379" s="51" t="str">
        <f>VLOOKUP(C379,'Shift Codes'!$A$1:$K$36,3,FALSE)</f>
        <v>SUN</v>
      </c>
    </row>
    <row r="380" spans="1:5" x14ac:dyDescent="0.35">
      <c r="A380" s="50">
        <v>107791201</v>
      </c>
      <c r="B380" t="s">
        <v>309</v>
      </c>
      <c r="C380" t="s">
        <v>419</v>
      </c>
      <c r="D380" s="51" t="str">
        <f>VLOOKUP(C380,'Shift Codes'!$A$1:$K$36,2,FALSE)</f>
        <v>Tu-Sa</v>
      </c>
      <c r="E380" s="51" t="str">
        <f>VLOOKUP(C380,'Shift Codes'!$A$1:$K$36,3,FALSE)</f>
        <v>SUN</v>
      </c>
    </row>
    <row r="381" spans="1:5" x14ac:dyDescent="0.35">
      <c r="A381" s="50">
        <v>204678894</v>
      </c>
      <c r="B381" t="s">
        <v>489</v>
      </c>
      <c r="C381" t="s">
        <v>415</v>
      </c>
      <c r="D381" s="51" t="str">
        <f>VLOOKUP(C381,'Shift Codes'!$A$1:$K$36,2,FALSE)</f>
        <v>Su-Th</v>
      </c>
      <c r="E381" s="51" t="str">
        <f>VLOOKUP(C381,'Shift Codes'!$A$1:$K$36,3,FALSE)</f>
        <v>SUN</v>
      </c>
    </row>
    <row r="382" spans="1:5" x14ac:dyDescent="0.35">
      <c r="A382" s="50">
        <v>204612168</v>
      </c>
      <c r="B382" t="s">
        <v>471</v>
      </c>
      <c r="C382" t="s">
        <v>415</v>
      </c>
      <c r="D382" s="51" t="str">
        <f>VLOOKUP(C382,'Shift Codes'!$A$1:$K$36,2,FALSE)</f>
        <v>Su-Th</v>
      </c>
      <c r="E382" s="51" t="str">
        <f>VLOOKUP(C382,'Shift Codes'!$A$1:$K$36,3,FALSE)</f>
        <v>SUN</v>
      </c>
    </row>
    <row r="383" spans="1:5" x14ac:dyDescent="0.35">
      <c r="A383" s="50">
        <v>203534800</v>
      </c>
      <c r="B383" t="s">
        <v>304</v>
      </c>
      <c r="C383" t="s">
        <v>415</v>
      </c>
      <c r="D383" s="51" t="str">
        <f>VLOOKUP(C383,'Shift Codes'!$A$1:$K$36,2,FALSE)</f>
        <v>Su-Th</v>
      </c>
      <c r="E383" s="51" t="str">
        <f>VLOOKUP(C383,'Shift Codes'!$A$1:$K$36,3,FALSE)</f>
        <v>SUN</v>
      </c>
    </row>
    <row r="384" spans="1:5" x14ac:dyDescent="0.35">
      <c r="A384" s="50">
        <v>203318726</v>
      </c>
      <c r="B384" t="s">
        <v>319</v>
      </c>
      <c r="C384" t="s">
        <v>415</v>
      </c>
      <c r="D384" s="51" t="str">
        <f>VLOOKUP(C384,'Shift Codes'!$A$1:$K$36,2,FALSE)</f>
        <v>Su-Th</v>
      </c>
      <c r="E384" s="51" t="str">
        <f>VLOOKUP(C384,'Shift Codes'!$A$1:$K$36,3,FALSE)</f>
        <v>SUN</v>
      </c>
    </row>
    <row r="385" spans="1:5" x14ac:dyDescent="0.35">
      <c r="A385" s="50">
        <v>202768507</v>
      </c>
      <c r="B385" t="s">
        <v>314</v>
      </c>
      <c r="C385" t="s">
        <v>415</v>
      </c>
      <c r="D385" s="51" t="str">
        <f>VLOOKUP(C385,'Shift Codes'!$A$1:$K$36,2,FALSE)</f>
        <v>Su-Th</v>
      </c>
      <c r="E385" s="51" t="str">
        <f>VLOOKUP(C385,'Shift Codes'!$A$1:$K$36,3,FALSE)</f>
        <v>SUN</v>
      </c>
    </row>
    <row r="386" spans="1:5" x14ac:dyDescent="0.35">
      <c r="A386" s="50">
        <v>202436448</v>
      </c>
      <c r="B386" t="s">
        <v>324</v>
      </c>
      <c r="C386" t="s">
        <v>415</v>
      </c>
      <c r="D386" s="51" t="str">
        <f>VLOOKUP(C386,'Shift Codes'!$A$1:$K$36,2,FALSE)</f>
        <v>Su-Th</v>
      </c>
      <c r="E386" s="51" t="str">
        <f>VLOOKUP(C386,'Shift Codes'!$A$1:$K$36,3,FALSE)</f>
        <v>SUN</v>
      </c>
    </row>
    <row r="387" spans="1:5" x14ac:dyDescent="0.35">
      <c r="A387" s="50">
        <v>202028365</v>
      </c>
      <c r="B387" t="s">
        <v>310</v>
      </c>
      <c r="C387" t="s">
        <v>415</v>
      </c>
      <c r="D387" s="51" t="str">
        <f>VLOOKUP(C387,'Shift Codes'!$A$1:$K$36,2,FALSE)</f>
        <v>Su-Th</v>
      </c>
      <c r="E387" s="51" t="str">
        <f>VLOOKUP(C387,'Shift Codes'!$A$1:$K$36,3,FALSE)</f>
        <v>SUN</v>
      </c>
    </row>
    <row r="388" spans="1:5" x14ac:dyDescent="0.35">
      <c r="A388" s="50">
        <v>202024203</v>
      </c>
      <c r="B388" t="s">
        <v>295</v>
      </c>
      <c r="C388" t="s">
        <v>415</v>
      </c>
      <c r="D388" s="51" t="str">
        <f>VLOOKUP(C388,'Shift Codes'!$A$1:$K$36,2,FALSE)</f>
        <v>Su-Th</v>
      </c>
      <c r="E388" s="51" t="str">
        <f>VLOOKUP(C388,'Shift Codes'!$A$1:$K$36,3,FALSE)</f>
        <v>SUN</v>
      </c>
    </row>
    <row r="389" spans="1:5" x14ac:dyDescent="0.35">
      <c r="A389" s="50">
        <v>201778058</v>
      </c>
      <c r="B389" t="s">
        <v>555</v>
      </c>
      <c r="C389" t="s">
        <v>415</v>
      </c>
      <c r="D389" s="51" t="str">
        <f>VLOOKUP(C389,'Shift Codes'!$A$1:$K$36,2,FALSE)</f>
        <v>Su-Th</v>
      </c>
      <c r="E389" s="51" t="str">
        <f>VLOOKUP(C389,'Shift Codes'!$A$1:$K$36,3,FALSE)</f>
        <v>SUN</v>
      </c>
    </row>
    <row r="390" spans="1:5" x14ac:dyDescent="0.35">
      <c r="A390" s="50">
        <v>201295875</v>
      </c>
      <c r="B390" t="s">
        <v>300</v>
      </c>
      <c r="C390" t="s">
        <v>415</v>
      </c>
      <c r="D390" s="51" t="str">
        <f>VLOOKUP(C390,'Shift Codes'!$A$1:$K$36,2,FALSE)</f>
        <v>Su-Th</v>
      </c>
      <c r="E390" s="51" t="str">
        <f>VLOOKUP(C390,'Shift Codes'!$A$1:$K$36,3,FALSE)</f>
        <v>SUN</v>
      </c>
    </row>
    <row r="391" spans="1:5" x14ac:dyDescent="0.35">
      <c r="A391" s="50">
        <v>201085296</v>
      </c>
      <c r="B391" t="s">
        <v>311</v>
      </c>
      <c r="C391" t="s">
        <v>415</v>
      </c>
      <c r="D391" s="51" t="str">
        <f>VLOOKUP(C391,'Shift Codes'!$A$1:$K$36,2,FALSE)</f>
        <v>Su-Th</v>
      </c>
      <c r="E391" s="51" t="str">
        <f>VLOOKUP(C391,'Shift Codes'!$A$1:$K$36,3,FALSE)</f>
        <v>SUN</v>
      </c>
    </row>
    <row r="392" spans="1:5" x14ac:dyDescent="0.35">
      <c r="A392" s="50">
        <v>204689142</v>
      </c>
      <c r="B392" t="s">
        <v>90</v>
      </c>
      <c r="C392" t="s">
        <v>91</v>
      </c>
      <c r="D392" s="51" t="str">
        <f>VLOOKUP(C392,'Shift Codes'!$A$1:$K$36,2,FALSE)</f>
        <v>Tu-Sa</v>
      </c>
      <c r="E392" s="51" t="str">
        <f>VLOOKUP(C392,'Shift Codes'!$A$1:$K$36,3,FALSE)</f>
        <v>TWI</v>
      </c>
    </row>
    <row r="393" spans="1:5" x14ac:dyDescent="0.35">
      <c r="A393" s="50">
        <v>204689141</v>
      </c>
      <c r="B393" t="s">
        <v>465</v>
      </c>
      <c r="C393" t="s">
        <v>91</v>
      </c>
      <c r="D393" s="51" t="str">
        <f>VLOOKUP(C393,'Shift Codes'!$A$1:$K$36,2,FALSE)</f>
        <v>Tu-Sa</v>
      </c>
      <c r="E393" s="51" t="str">
        <f>VLOOKUP(C393,'Shift Codes'!$A$1:$K$36,3,FALSE)</f>
        <v>TWI</v>
      </c>
    </row>
    <row r="394" spans="1:5" x14ac:dyDescent="0.35">
      <c r="A394" s="50">
        <v>204689138</v>
      </c>
      <c r="B394" t="s">
        <v>478</v>
      </c>
      <c r="C394" t="s">
        <v>91</v>
      </c>
      <c r="D394" s="51" t="str">
        <f>VLOOKUP(C394,'Shift Codes'!$A$1:$K$36,2,FALSE)</f>
        <v>Tu-Sa</v>
      </c>
      <c r="E394" s="51" t="str">
        <f>VLOOKUP(C394,'Shift Codes'!$A$1:$K$36,3,FALSE)</f>
        <v>TWI</v>
      </c>
    </row>
    <row r="395" spans="1:5" x14ac:dyDescent="0.35">
      <c r="A395" s="50">
        <v>204689136</v>
      </c>
      <c r="B395" t="s">
        <v>92</v>
      </c>
      <c r="C395" t="s">
        <v>91</v>
      </c>
      <c r="D395" s="51" t="str">
        <f>VLOOKUP(C395,'Shift Codes'!$A$1:$K$36,2,FALSE)</f>
        <v>Tu-Sa</v>
      </c>
      <c r="E395" s="51" t="str">
        <f>VLOOKUP(C395,'Shift Codes'!$A$1:$K$36,3,FALSE)</f>
        <v>TWI</v>
      </c>
    </row>
    <row r="396" spans="1:5" x14ac:dyDescent="0.35">
      <c r="A396" s="50">
        <v>204689134</v>
      </c>
      <c r="B396" t="s">
        <v>473</v>
      </c>
      <c r="C396" t="s">
        <v>91</v>
      </c>
      <c r="D396" s="51" t="str">
        <f>VLOOKUP(C396,'Shift Codes'!$A$1:$K$36,2,FALSE)</f>
        <v>Tu-Sa</v>
      </c>
      <c r="E396" s="51" t="str">
        <f>VLOOKUP(C396,'Shift Codes'!$A$1:$K$36,3,FALSE)</f>
        <v>TWI</v>
      </c>
    </row>
    <row r="397" spans="1:5" x14ac:dyDescent="0.35">
      <c r="A397" s="50">
        <v>204689133</v>
      </c>
      <c r="B397" t="s">
        <v>93</v>
      </c>
      <c r="C397" t="s">
        <v>91</v>
      </c>
      <c r="D397" s="51" t="str">
        <f>VLOOKUP(C397,'Shift Codes'!$A$1:$K$36,2,FALSE)</f>
        <v>Tu-Sa</v>
      </c>
      <c r="E397" s="51" t="str">
        <f>VLOOKUP(C397,'Shift Codes'!$A$1:$K$36,3,FALSE)</f>
        <v>TWI</v>
      </c>
    </row>
    <row r="398" spans="1:5" x14ac:dyDescent="0.35">
      <c r="A398" s="50">
        <v>204513319</v>
      </c>
      <c r="B398" t="s">
        <v>94</v>
      </c>
      <c r="C398" t="s">
        <v>91</v>
      </c>
      <c r="D398" s="51" t="str">
        <f>VLOOKUP(C398,'Shift Codes'!$A$1:$K$36,2,FALSE)</f>
        <v>Tu-Sa</v>
      </c>
      <c r="E398" s="51" t="str">
        <f>VLOOKUP(C398,'Shift Codes'!$A$1:$K$36,3,FALSE)</f>
        <v>TWI</v>
      </c>
    </row>
    <row r="399" spans="1:5" x14ac:dyDescent="0.35">
      <c r="A399" s="50">
        <v>204150003</v>
      </c>
      <c r="B399" t="s">
        <v>470</v>
      </c>
      <c r="C399" t="s">
        <v>91</v>
      </c>
      <c r="D399" s="51" t="str">
        <f>VLOOKUP(C399,'Shift Codes'!$A$1:$K$36,2,FALSE)</f>
        <v>Tu-Sa</v>
      </c>
      <c r="E399" s="51" t="str">
        <f>VLOOKUP(C399,'Shift Codes'!$A$1:$K$36,3,FALSE)</f>
        <v>TWI</v>
      </c>
    </row>
    <row r="400" spans="1:5" x14ac:dyDescent="0.35">
      <c r="A400" s="50">
        <v>202430660</v>
      </c>
      <c r="B400" t="s">
        <v>375</v>
      </c>
      <c r="C400" t="s">
        <v>91</v>
      </c>
      <c r="D400" s="51" t="str">
        <f>VLOOKUP(C400,'Shift Codes'!$A$1:$K$36,2,FALSE)</f>
        <v>Tu-Sa</v>
      </c>
      <c r="E400" s="51" t="str">
        <f>VLOOKUP(C400,'Shift Codes'!$A$1:$K$36,3,FALSE)</f>
        <v>TWI</v>
      </c>
    </row>
    <row r="401" spans="1:5" x14ac:dyDescent="0.35">
      <c r="A401" s="50">
        <v>202117640</v>
      </c>
      <c r="B401" t="s">
        <v>203</v>
      </c>
      <c r="C401" t="s">
        <v>91</v>
      </c>
      <c r="D401" s="51" t="str">
        <f>VLOOKUP(C401,'Shift Codes'!$A$1:$K$36,2,FALSE)</f>
        <v>Tu-Sa</v>
      </c>
      <c r="E401" s="51" t="str">
        <f>VLOOKUP(C401,'Shift Codes'!$A$1:$K$36,3,FALSE)</f>
        <v>TWI</v>
      </c>
    </row>
    <row r="402" spans="1:5" x14ac:dyDescent="0.35">
      <c r="A402" s="50">
        <v>202086754</v>
      </c>
      <c r="B402" t="s">
        <v>200</v>
      </c>
      <c r="C402" t="s">
        <v>91</v>
      </c>
      <c r="D402" s="51" t="str">
        <f>VLOOKUP(C402,'Shift Codes'!$A$1:$K$36,2,FALSE)</f>
        <v>Tu-Sa</v>
      </c>
      <c r="E402" s="51" t="str">
        <f>VLOOKUP(C402,'Shift Codes'!$A$1:$K$36,3,FALSE)</f>
        <v>TWI</v>
      </c>
    </row>
    <row r="403" spans="1:5" x14ac:dyDescent="0.35">
      <c r="A403" s="50">
        <v>201383931</v>
      </c>
      <c r="B403" t="s">
        <v>204</v>
      </c>
      <c r="C403" t="s">
        <v>91</v>
      </c>
      <c r="D403" s="51" t="str">
        <f>VLOOKUP(C403,'Shift Codes'!$A$1:$K$36,2,FALSE)</f>
        <v>Tu-Sa</v>
      </c>
      <c r="E403" s="51" t="str">
        <f>VLOOKUP(C403,'Shift Codes'!$A$1:$K$36,3,FALSE)</f>
        <v>TWI</v>
      </c>
    </row>
    <row r="404" spans="1:5" x14ac:dyDescent="0.35">
      <c r="A404" s="50">
        <v>200975324</v>
      </c>
      <c r="B404" t="s">
        <v>552</v>
      </c>
      <c r="C404" t="s">
        <v>91</v>
      </c>
      <c r="D404" s="51" t="str">
        <f>VLOOKUP(C404,'Shift Codes'!$A$1:$K$36,2,FALSE)</f>
        <v>Tu-Sa</v>
      </c>
      <c r="E404" s="51" t="str">
        <f>VLOOKUP(C404,'Shift Codes'!$A$1:$K$36,3,FALSE)</f>
        <v>TWI</v>
      </c>
    </row>
    <row r="405" spans="1:5" x14ac:dyDescent="0.35">
      <c r="A405" s="50">
        <v>112707771</v>
      </c>
      <c r="B405" t="s">
        <v>526</v>
      </c>
      <c r="C405" t="s">
        <v>91</v>
      </c>
      <c r="D405" s="51" t="str">
        <f>VLOOKUP(C405,'Shift Codes'!$A$1:$K$36,2,FALSE)</f>
        <v>Tu-Sa</v>
      </c>
      <c r="E405" s="51" t="str">
        <f>VLOOKUP(C405,'Shift Codes'!$A$1:$K$36,3,FALSE)</f>
        <v>TWI</v>
      </c>
    </row>
    <row r="406" spans="1:5" x14ac:dyDescent="0.35">
      <c r="A406" s="50">
        <v>109778174</v>
      </c>
      <c r="B406" t="s">
        <v>206</v>
      </c>
      <c r="C406" t="s">
        <v>91</v>
      </c>
      <c r="D406" s="51" t="str">
        <f>VLOOKUP(C406,'Shift Codes'!$A$1:$K$36,2,FALSE)</f>
        <v>Tu-Sa</v>
      </c>
      <c r="E406" s="51" t="str">
        <f>VLOOKUP(C406,'Shift Codes'!$A$1:$K$36,3,FALSE)</f>
        <v>TWI</v>
      </c>
    </row>
    <row r="407" spans="1:5" x14ac:dyDescent="0.35">
      <c r="A407" s="50">
        <v>105675324</v>
      </c>
      <c r="B407" t="s">
        <v>490</v>
      </c>
      <c r="C407" t="s">
        <v>91</v>
      </c>
      <c r="D407" s="51" t="str">
        <f>VLOOKUP(C407,'Shift Codes'!$A$1:$K$36,2,FALSE)</f>
        <v>Tu-Sa</v>
      </c>
      <c r="E407" s="51" t="str">
        <f>VLOOKUP(C407,'Shift Codes'!$A$1:$K$36,3,FALSE)</f>
        <v>TWI</v>
      </c>
    </row>
    <row r="408" spans="1:5" x14ac:dyDescent="0.35">
      <c r="A408" s="50">
        <v>204496453</v>
      </c>
      <c r="B408" t="s">
        <v>361</v>
      </c>
      <c r="C408" t="s">
        <v>443</v>
      </c>
      <c r="D408" s="51" t="str">
        <f>VLOOKUP(C408,'Shift Codes'!$A$1:$K$36,2,FALSE)</f>
        <v>Su-Th</v>
      </c>
      <c r="E408" s="51" t="str">
        <f>VLOOKUP(C408,'Shift Codes'!$A$1:$K$36,3,FALSE)</f>
        <v>TWI</v>
      </c>
    </row>
    <row r="409" spans="1:5" x14ac:dyDescent="0.35">
      <c r="A409" s="50">
        <v>204139149</v>
      </c>
      <c r="B409" t="s">
        <v>486</v>
      </c>
      <c r="C409" t="s">
        <v>443</v>
      </c>
      <c r="D409" s="51" t="str">
        <f>VLOOKUP(C409,'Shift Codes'!$A$1:$K$36,2,FALSE)</f>
        <v>Su-Th</v>
      </c>
      <c r="E409" s="51" t="str">
        <f>VLOOKUP(C409,'Shift Codes'!$A$1:$K$36,3,FALSE)</f>
        <v>TWI</v>
      </c>
    </row>
    <row r="410" spans="1:5" x14ac:dyDescent="0.35">
      <c r="A410" s="50">
        <v>202812581</v>
      </c>
      <c r="B410" t="s">
        <v>366</v>
      </c>
      <c r="C410" t="s">
        <v>443</v>
      </c>
      <c r="D410" s="51" t="str">
        <f>VLOOKUP(C410,'Shift Codes'!$A$1:$K$36,2,FALSE)</f>
        <v>Su-Th</v>
      </c>
      <c r="E410" s="51" t="str">
        <f>VLOOKUP(C410,'Shift Codes'!$A$1:$K$36,3,FALSE)</f>
        <v>TWI</v>
      </c>
    </row>
    <row r="411" spans="1:5" x14ac:dyDescent="0.35">
      <c r="A411" s="50">
        <v>202786214</v>
      </c>
      <c r="B411" t="s">
        <v>468</v>
      </c>
      <c r="C411" t="s">
        <v>443</v>
      </c>
      <c r="D411" s="51" t="str">
        <f>VLOOKUP(C411,'Shift Codes'!$A$1:$K$36,2,FALSE)</f>
        <v>Su-Th</v>
      </c>
      <c r="E411" s="51" t="str">
        <f>VLOOKUP(C411,'Shift Codes'!$A$1:$K$36,3,FALSE)</f>
        <v>TWI</v>
      </c>
    </row>
    <row r="412" spans="1:5" x14ac:dyDescent="0.35">
      <c r="A412" s="50">
        <v>202737442</v>
      </c>
      <c r="B412" t="s">
        <v>499</v>
      </c>
      <c r="C412" t="s">
        <v>443</v>
      </c>
      <c r="D412" s="51" t="str">
        <f>VLOOKUP(C412,'Shift Codes'!$A$1:$K$36,2,FALSE)</f>
        <v>Su-Th</v>
      </c>
      <c r="E412" s="51" t="str">
        <f>VLOOKUP(C412,'Shift Codes'!$A$1:$K$36,3,FALSE)</f>
        <v>TWI</v>
      </c>
    </row>
    <row r="413" spans="1:5" x14ac:dyDescent="0.35">
      <c r="A413" s="50">
        <v>202647752</v>
      </c>
      <c r="B413" t="s">
        <v>364</v>
      </c>
      <c r="C413" t="s">
        <v>443</v>
      </c>
      <c r="D413" s="51" t="str">
        <f>VLOOKUP(C413,'Shift Codes'!$A$1:$K$36,2,FALSE)</f>
        <v>Su-Th</v>
      </c>
      <c r="E413" s="51" t="str">
        <f>VLOOKUP(C413,'Shift Codes'!$A$1:$K$36,3,FALSE)</f>
        <v>TWI</v>
      </c>
    </row>
    <row r="414" spans="1:5" x14ac:dyDescent="0.35">
      <c r="A414" s="50">
        <v>202633252</v>
      </c>
      <c r="B414" t="s">
        <v>205</v>
      </c>
      <c r="C414" t="s">
        <v>443</v>
      </c>
      <c r="D414" s="51" t="str">
        <f>VLOOKUP(C414,'Shift Codes'!$A$1:$K$36,2,FALSE)</f>
        <v>Su-Th</v>
      </c>
      <c r="E414" s="51" t="str">
        <f>VLOOKUP(C414,'Shift Codes'!$A$1:$K$36,3,FALSE)</f>
        <v>TWI</v>
      </c>
    </row>
    <row r="415" spans="1:5" x14ac:dyDescent="0.35">
      <c r="A415" s="50">
        <v>202566698</v>
      </c>
      <c r="B415" t="s">
        <v>199</v>
      </c>
      <c r="C415" t="s">
        <v>443</v>
      </c>
      <c r="D415" s="51" t="str">
        <f>VLOOKUP(C415,'Shift Codes'!$A$1:$K$36,2,FALSE)</f>
        <v>Su-Th</v>
      </c>
      <c r="E415" s="51" t="str">
        <f>VLOOKUP(C415,'Shift Codes'!$A$1:$K$36,3,FALSE)</f>
        <v>TWI</v>
      </c>
    </row>
    <row r="416" spans="1:5" x14ac:dyDescent="0.35">
      <c r="A416" s="50">
        <v>202175987</v>
      </c>
      <c r="B416" t="s">
        <v>371</v>
      </c>
      <c r="C416" t="s">
        <v>443</v>
      </c>
      <c r="D416" s="51" t="str">
        <f>VLOOKUP(C416,'Shift Codes'!$A$1:$K$36,2,FALSE)</f>
        <v>Su-Th</v>
      </c>
      <c r="E416" s="51" t="str">
        <f>VLOOKUP(C416,'Shift Codes'!$A$1:$K$36,3,FALSE)</f>
        <v>TWI</v>
      </c>
    </row>
    <row r="417" spans="1:5" x14ac:dyDescent="0.35">
      <c r="A417" s="50">
        <v>201752429</v>
      </c>
      <c r="B417" t="s">
        <v>369</v>
      </c>
      <c r="C417" t="s">
        <v>443</v>
      </c>
      <c r="D417" s="51" t="str">
        <f>VLOOKUP(C417,'Shift Codes'!$A$1:$K$36,2,FALSE)</f>
        <v>Su-Th</v>
      </c>
      <c r="E417" s="51" t="str">
        <f>VLOOKUP(C417,'Shift Codes'!$A$1:$K$36,3,FALSE)</f>
        <v>TWI</v>
      </c>
    </row>
    <row r="418" spans="1:5" x14ac:dyDescent="0.35">
      <c r="A418" s="50">
        <v>201395952</v>
      </c>
      <c r="B418" t="s">
        <v>351</v>
      </c>
      <c r="C418" t="s">
        <v>443</v>
      </c>
      <c r="D418" s="51" t="str">
        <f>VLOOKUP(C418,'Shift Codes'!$A$1:$K$36,2,FALSE)</f>
        <v>Su-Th</v>
      </c>
      <c r="E418" s="51" t="str">
        <f>VLOOKUP(C418,'Shift Codes'!$A$1:$K$36,3,FALSE)</f>
        <v>TWI</v>
      </c>
    </row>
    <row r="419" spans="1:5" x14ac:dyDescent="0.35">
      <c r="A419" s="50">
        <v>204766542</v>
      </c>
      <c r="B419" t="s">
        <v>536</v>
      </c>
      <c r="C419" t="s">
        <v>426</v>
      </c>
      <c r="D419" s="51" t="str">
        <f>VLOOKUP(C419,'Shift Codes'!$A$1:$K$36,2,FALSE)</f>
        <v>F-Tu</v>
      </c>
      <c r="E419" s="51" t="str">
        <f>VLOOKUP(C419,'Shift Codes'!$A$1:$K$36,3,FALSE)</f>
        <v>SUN</v>
      </c>
    </row>
    <row r="420" spans="1:5" x14ac:dyDescent="0.35">
      <c r="A420" s="50">
        <v>204704467</v>
      </c>
      <c r="B420" t="s">
        <v>551</v>
      </c>
      <c r="C420" t="s">
        <v>426</v>
      </c>
      <c r="D420" s="51" t="str">
        <f>VLOOKUP(C420,'Shift Codes'!$A$1:$K$36,2,FALSE)</f>
        <v>F-Tu</v>
      </c>
      <c r="E420" s="51" t="str">
        <f>VLOOKUP(C420,'Shift Codes'!$A$1:$K$36,3,FALSE)</f>
        <v>SUN</v>
      </c>
    </row>
    <row r="421" spans="1:5" x14ac:dyDescent="0.35">
      <c r="A421" s="50">
        <v>204704464</v>
      </c>
      <c r="B421" t="s">
        <v>529</v>
      </c>
      <c r="C421" t="s">
        <v>426</v>
      </c>
      <c r="D421" s="51" t="str">
        <f>VLOOKUP(C421,'Shift Codes'!$A$1:$K$36,2,FALSE)</f>
        <v>F-Tu</v>
      </c>
      <c r="E421" s="51" t="str">
        <f>VLOOKUP(C421,'Shift Codes'!$A$1:$K$36,3,FALSE)</f>
        <v>SUN</v>
      </c>
    </row>
    <row r="422" spans="1:5" x14ac:dyDescent="0.35">
      <c r="A422" s="50">
        <v>204704434</v>
      </c>
      <c r="B422" t="s">
        <v>496</v>
      </c>
      <c r="C422" t="s">
        <v>426</v>
      </c>
      <c r="D422" s="51" t="str">
        <f>VLOOKUP(C422,'Shift Codes'!$A$1:$K$36,2,FALSE)</f>
        <v>F-Tu</v>
      </c>
      <c r="E422" s="51" t="str">
        <f>VLOOKUP(C422,'Shift Codes'!$A$1:$K$36,3,FALSE)</f>
        <v>SUN</v>
      </c>
    </row>
    <row r="423" spans="1:5" x14ac:dyDescent="0.35">
      <c r="A423" s="50">
        <v>204704419</v>
      </c>
      <c r="B423" t="s">
        <v>501</v>
      </c>
      <c r="C423" t="s">
        <v>426</v>
      </c>
      <c r="D423" s="51" t="str">
        <f>VLOOKUP(C423,'Shift Codes'!$A$1:$K$36,2,FALSE)</f>
        <v>F-Tu</v>
      </c>
      <c r="E423" s="51" t="str">
        <f>VLOOKUP(C423,'Shift Codes'!$A$1:$K$36,3,FALSE)</f>
        <v>SUN</v>
      </c>
    </row>
    <row r="424" spans="1:5" x14ac:dyDescent="0.35">
      <c r="A424" s="50">
        <v>204217897</v>
      </c>
      <c r="B424" t="s">
        <v>539</v>
      </c>
      <c r="C424" t="s">
        <v>426</v>
      </c>
      <c r="D424" s="51" t="str">
        <f>VLOOKUP(C424,'Shift Codes'!$A$1:$K$36,2,FALSE)</f>
        <v>F-Tu</v>
      </c>
      <c r="E424" s="51" t="str">
        <f>VLOOKUP(C424,'Shift Codes'!$A$1:$K$36,3,FALSE)</f>
        <v>SUN</v>
      </c>
    </row>
    <row r="425" spans="1:5" x14ac:dyDescent="0.35">
      <c r="A425" s="50">
        <v>204217870</v>
      </c>
      <c r="B425" t="s">
        <v>548</v>
      </c>
      <c r="C425" t="s">
        <v>426</v>
      </c>
      <c r="D425" s="51" t="str">
        <f>VLOOKUP(C425,'Shift Codes'!$A$1:$K$36,2,FALSE)</f>
        <v>F-Tu</v>
      </c>
      <c r="E425" s="51" t="str">
        <f>VLOOKUP(C425,'Shift Codes'!$A$1:$K$36,3,FALSE)</f>
        <v>SUN</v>
      </c>
    </row>
    <row r="426" spans="1:5" x14ac:dyDescent="0.35">
      <c r="A426" s="50">
        <v>203938110</v>
      </c>
      <c r="B426" t="s">
        <v>567</v>
      </c>
      <c r="C426" t="s">
        <v>426</v>
      </c>
      <c r="D426" s="51" t="str">
        <f>VLOOKUP(C426,'Shift Codes'!$A$1:$K$36,2,FALSE)</f>
        <v>F-Tu</v>
      </c>
      <c r="E426" s="51" t="str">
        <f>VLOOKUP(C426,'Shift Codes'!$A$1:$K$36,3,FALSE)</f>
        <v>SUN</v>
      </c>
    </row>
    <row r="427" spans="1:5" x14ac:dyDescent="0.35">
      <c r="A427" s="50">
        <v>203938057</v>
      </c>
      <c r="B427" t="s">
        <v>477</v>
      </c>
      <c r="C427" t="s">
        <v>426</v>
      </c>
      <c r="D427" s="51" t="str">
        <f>VLOOKUP(C427,'Shift Codes'!$A$1:$K$36,2,FALSE)</f>
        <v>F-Tu</v>
      </c>
      <c r="E427" s="51" t="str">
        <f>VLOOKUP(C427,'Shift Codes'!$A$1:$K$36,3,FALSE)</f>
        <v>SUN</v>
      </c>
    </row>
    <row r="428" spans="1:5" x14ac:dyDescent="0.35">
      <c r="A428" s="50">
        <v>202613756</v>
      </c>
      <c r="B428" t="s">
        <v>563</v>
      </c>
      <c r="C428" t="s">
        <v>426</v>
      </c>
      <c r="D428" s="51" t="str">
        <f>VLOOKUP(C428,'Shift Codes'!$A$1:$K$36,2,FALSE)</f>
        <v>F-Tu</v>
      </c>
      <c r="E428" s="51" t="str">
        <f>VLOOKUP(C428,'Shift Codes'!$A$1:$K$36,3,FALSE)</f>
        <v>SUN</v>
      </c>
    </row>
    <row r="429" spans="1:5" x14ac:dyDescent="0.35">
      <c r="A429" s="50">
        <v>201690210</v>
      </c>
      <c r="B429" t="s">
        <v>562</v>
      </c>
      <c r="C429" t="s">
        <v>426</v>
      </c>
      <c r="D429" s="51" t="str">
        <f>VLOOKUP(C429,'Shift Codes'!$A$1:$K$36,2,FALSE)</f>
        <v>F-Tu</v>
      </c>
      <c r="E429" s="51" t="str">
        <f>VLOOKUP(C429,'Shift Codes'!$A$1:$K$36,3,FALSE)</f>
        <v>SUN</v>
      </c>
    </row>
    <row r="430" spans="1:5" x14ac:dyDescent="0.35">
      <c r="A430" s="50">
        <v>201567731</v>
      </c>
      <c r="B430" t="s">
        <v>546</v>
      </c>
      <c r="C430" t="s">
        <v>426</v>
      </c>
      <c r="D430" s="51" t="str">
        <f>VLOOKUP(C430,'Shift Codes'!$A$1:$K$36,2,FALSE)</f>
        <v>F-Tu</v>
      </c>
      <c r="E430" s="51" t="str">
        <f>VLOOKUP(C430,'Shift Codes'!$A$1:$K$36,3,FALSE)</f>
        <v>SUN</v>
      </c>
    </row>
    <row r="431" spans="1:5" x14ac:dyDescent="0.35">
      <c r="A431" s="50">
        <v>112964937</v>
      </c>
      <c r="B431" t="s">
        <v>509</v>
      </c>
      <c r="C431" t="s">
        <v>426</v>
      </c>
      <c r="D431" s="51" t="str">
        <f>VLOOKUP(C431,'Shift Codes'!$A$1:$K$36,2,FALSE)</f>
        <v>F-Tu</v>
      </c>
      <c r="E431" s="51" t="str">
        <f>VLOOKUP(C431,'Shift Codes'!$A$1:$K$36,3,FALSE)</f>
        <v>SUN</v>
      </c>
    </row>
    <row r="432" spans="1:5" x14ac:dyDescent="0.35">
      <c r="A432" s="50">
        <v>111349663</v>
      </c>
      <c r="B432" t="s">
        <v>494</v>
      </c>
      <c r="C432" t="s">
        <v>426</v>
      </c>
      <c r="D432" s="51" t="str">
        <f>VLOOKUP(C432,'Shift Codes'!$A$1:$K$36,2,FALSE)</f>
        <v>F-Tu</v>
      </c>
      <c r="E432" s="51" t="str">
        <f>VLOOKUP(C432,'Shift Codes'!$A$1:$K$36,3,FALSE)</f>
        <v>SUN</v>
      </c>
    </row>
    <row r="433" spans="1:5" x14ac:dyDescent="0.35">
      <c r="A433" s="50">
        <v>111020329</v>
      </c>
      <c r="B433" t="s">
        <v>335</v>
      </c>
      <c r="C433" t="s">
        <v>426</v>
      </c>
      <c r="D433" s="51" t="str">
        <f>VLOOKUP(C433,'Shift Codes'!$A$1:$K$36,2,FALSE)</f>
        <v>F-Tu</v>
      </c>
      <c r="E433" s="51" t="str">
        <f>VLOOKUP(C433,'Shift Codes'!$A$1:$K$36,3,FALSE)</f>
        <v>SUN</v>
      </c>
    </row>
    <row r="434" spans="1:5" x14ac:dyDescent="0.35">
      <c r="A434" s="50">
        <v>204549763</v>
      </c>
      <c r="B434" t="s">
        <v>550</v>
      </c>
      <c r="C434" t="s">
        <v>428</v>
      </c>
      <c r="D434" s="51" t="str">
        <f>VLOOKUP(C434,'Shift Codes'!$A$1:$K$36,2,FALSE)</f>
        <v>Sa-W</v>
      </c>
      <c r="E434" s="51" t="str">
        <f>VLOOKUP(C434,'Shift Codes'!$A$1:$K$36,3,FALSE)</f>
        <v>SUN</v>
      </c>
    </row>
    <row r="435" spans="1:5" x14ac:dyDescent="0.35">
      <c r="A435" s="50">
        <v>204549703</v>
      </c>
      <c r="B435" t="s">
        <v>516</v>
      </c>
      <c r="C435" t="s">
        <v>428</v>
      </c>
      <c r="D435" s="51" t="str">
        <f>VLOOKUP(C435,'Shift Codes'!$A$1:$K$36,2,FALSE)</f>
        <v>Sa-W</v>
      </c>
      <c r="E435" s="51" t="str">
        <f>VLOOKUP(C435,'Shift Codes'!$A$1:$K$36,3,FALSE)</f>
        <v>SUN</v>
      </c>
    </row>
    <row r="436" spans="1:5" x14ac:dyDescent="0.35">
      <c r="A436" s="50">
        <v>204178313</v>
      </c>
      <c r="B436" t="s">
        <v>491</v>
      </c>
      <c r="C436" t="s">
        <v>428</v>
      </c>
      <c r="D436" s="51" t="str">
        <f>VLOOKUP(C436,'Shift Codes'!$A$1:$K$36,2,FALSE)</f>
        <v>Sa-W</v>
      </c>
      <c r="E436" s="51" t="str">
        <f>VLOOKUP(C436,'Shift Codes'!$A$1:$K$36,3,FALSE)</f>
        <v>SUN</v>
      </c>
    </row>
    <row r="437" spans="1:5" x14ac:dyDescent="0.35">
      <c r="A437" s="50">
        <v>203438150</v>
      </c>
      <c r="B437" t="s">
        <v>307</v>
      </c>
      <c r="C437" t="s">
        <v>428</v>
      </c>
      <c r="D437" s="51" t="str">
        <f>VLOOKUP(C437,'Shift Codes'!$A$1:$K$36,2,FALSE)</f>
        <v>Sa-W</v>
      </c>
      <c r="E437" s="51" t="str">
        <f>VLOOKUP(C437,'Shift Codes'!$A$1:$K$36,3,FALSE)</f>
        <v>SUN</v>
      </c>
    </row>
    <row r="438" spans="1:5" x14ac:dyDescent="0.35">
      <c r="A438" s="50">
        <v>203329518</v>
      </c>
      <c r="B438" t="s">
        <v>508</v>
      </c>
      <c r="C438" t="s">
        <v>428</v>
      </c>
      <c r="D438" s="51" t="str">
        <f>VLOOKUP(C438,'Shift Codes'!$A$1:$K$36,2,FALSE)</f>
        <v>Sa-W</v>
      </c>
      <c r="E438" s="51" t="str">
        <f>VLOOKUP(C438,'Shift Codes'!$A$1:$K$36,3,FALSE)</f>
        <v>SUN</v>
      </c>
    </row>
    <row r="439" spans="1:5" x14ac:dyDescent="0.35">
      <c r="A439" s="50">
        <v>202579778</v>
      </c>
      <c r="B439" t="s">
        <v>492</v>
      </c>
      <c r="C439" t="s">
        <v>428</v>
      </c>
      <c r="D439" s="51" t="str">
        <f>VLOOKUP(C439,'Shift Codes'!$A$1:$K$36,2,FALSE)</f>
        <v>Sa-W</v>
      </c>
      <c r="E439" s="51" t="str">
        <f>VLOOKUP(C439,'Shift Codes'!$A$1:$K$36,3,FALSE)</f>
        <v>SUN</v>
      </c>
    </row>
    <row r="440" spans="1:5" x14ac:dyDescent="0.35">
      <c r="A440" s="50">
        <v>202063571</v>
      </c>
      <c r="B440" t="s">
        <v>337</v>
      </c>
      <c r="C440" t="s">
        <v>428</v>
      </c>
      <c r="D440" s="51" t="str">
        <f>VLOOKUP(C440,'Shift Codes'!$A$1:$K$36,2,FALSE)</f>
        <v>Sa-W</v>
      </c>
      <c r="E440" s="51" t="str">
        <f>VLOOKUP(C440,'Shift Codes'!$A$1:$K$36,3,FALSE)</f>
        <v>SUN</v>
      </c>
    </row>
    <row r="441" spans="1:5" x14ac:dyDescent="0.35">
      <c r="A441" s="50">
        <v>201839253</v>
      </c>
      <c r="B441" t="s">
        <v>234</v>
      </c>
      <c r="C441" t="s">
        <v>428</v>
      </c>
      <c r="D441" s="51" t="str">
        <f>VLOOKUP(C441,'Shift Codes'!$A$1:$K$36,2,FALSE)</f>
        <v>Sa-W</v>
      </c>
      <c r="E441" s="51" t="str">
        <f>VLOOKUP(C441,'Shift Codes'!$A$1:$K$36,3,FALSE)</f>
        <v>SUN</v>
      </c>
    </row>
    <row r="442" spans="1:5" x14ac:dyDescent="0.35">
      <c r="A442" s="50">
        <v>201636378</v>
      </c>
      <c r="B442" t="s">
        <v>537</v>
      </c>
      <c r="C442" t="s">
        <v>428</v>
      </c>
      <c r="D442" s="51" t="str">
        <f>VLOOKUP(C442,'Shift Codes'!$A$1:$K$36,2,FALSE)</f>
        <v>Sa-W</v>
      </c>
      <c r="E442" s="51" t="str">
        <f>VLOOKUP(C442,'Shift Codes'!$A$1:$K$36,3,FALSE)</f>
        <v>SUN</v>
      </c>
    </row>
    <row r="443" spans="1:5" x14ac:dyDescent="0.35">
      <c r="A443" s="50">
        <v>200866329</v>
      </c>
      <c r="B443" t="s">
        <v>524</v>
      </c>
      <c r="C443" t="s">
        <v>428</v>
      </c>
      <c r="D443" s="51" t="str">
        <f>VLOOKUP(C443,'Shift Codes'!$A$1:$K$36,2,FALSE)</f>
        <v>Sa-W</v>
      </c>
      <c r="E443" s="51" t="str">
        <f>VLOOKUP(C443,'Shift Codes'!$A$1:$K$36,3,FALSE)</f>
        <v>SUN</v>
      </c>
    </row>
    <row r="444" spans="1:5" x14ac:dyDescent="0.35">
      <c r="A444" s="50">
        <v>111490333</v>
      </c>
      <c r="B444" t="s">
        <v>326</v>
      </c>
      <c r="C444" t="s">
        <v>428</v>
      </c>
      <c r="D444" s="51" t="str">
        <f>VLOOKUP(C444,'Shift Codes'!$A$1:$K$36,2,FALSE)</f>
        <v>Sa-W</v>
      </c>
      <c r="E444" s="51" t="str">
        <f>VLOOKUP(C444,'Shift Codes'!$A$1:$K$36,3,FALSE)</f>
        <v>SUN</v>
      </c>
    </row>
    <row r="445" spans="1:5" x14ac:dyDescent="0.35">
      <c r="A445" s="50">
        <v>204722558</v>
      </c>
      <c r="B445" t="s">
        <v>347</v>
      </c>
      <c r="C445" t="s">
        <v>110</v>
      </c>
      <c r="D445" s="51" t="str">
        <f>VLOOKUP(C445,'Shift Codes'!$A$1:$K$36,2,FALSE)</f>
        <v>M-F</v>
      </c>
      <c r="E445" s="51" t="str">
        <f>VLOOKUP(C445,'Shift Codes'!$A$1:$K$36,3,FALSE)</f>
        <v>SUN</v>
      </c>
    </row>
    <row r="446" spans="1:5" x14ac:dyDescent="0.35">
      <c r="A446" s="50">
        <v>204308532</v>
      </c>
      <c r="B446" t="s">
        <v>484</v>
      </c>
      <c r="C446" t="s">
        <v>110</v>
      </c>
      <c r="D446" s="51" t="str">
        <f>VLOOKUP(C446,'Shift Codes'!$A$1:$K$36,2,FALSE)</f>
        <v>M-F</v>
      </c>
      <c r="E446" s="51" t="str">
        <f>VLOOKUP(C446,'Shift Codes'!$A$1:$K$36,3,FALSE)</f>
        <v>SUN</v>
      </c>
    </row>
    <row r="447" spans="1:5" x14ac:dyDescent="0.35">
      <c r="A447" s="50">
        <v>204308498</v>
      </c>
      <c r="B447" t="s">
        <v>325</v>
      </c>
      <c r="C447" t="s">
        <v>110</v>
      </c>
      <c r="D447" s="51" t="str">
        <f>VLOOKUP(C447,'Shift Codes'!$A$1:$K$36,2,FALSE)</f>
        <v>M-F</v>
      </c>
      <c r="E447" s="51" t="str">
        <f>VLOOKUP(C447,'Shift Codes'!$A$1:$K$36,3,FALSE)</f>
        <v>SUN</v>
      </c>
    </row>
    <row r="448" spans="1:5" x14ac:dyDescent="0.35">
      <c r="A448" s="50">
        <v>202887114</v>
      </c>
      <c r="B448" t="s">
        <v>350</v>
      </c>
      <c r="C448" t="s">
        <v>110</v>
      </c>
      <c r="D448" s="51" t="str">
        <f>VLOOKUP(C448,'Shift Codes'!$A$1:$K$36,2,FALSE)</f>
        <v>M-F</v>
      </c>
      <c r="E448" s="51" t="str">
        <f>VLOOKUP(C448,'Shift Codes'!$A$1:$K$36,3,FALSE)</f>
        <v>SUN</v>
      </c>
    </row>
    <row r="449" spans="1:5" x14ac:dyDescent="0.35">
      <c r="A449" s="50">
        <v>202784917</v>
      </c>
      <c r="B449" t="s">
        <v>315</v>
      </c>
      <c r="C449" t="s">
        <v>110</v>
      </c>
      <c r="D449" s="51" t="str">
        <f>VLOOKUP(C449,'Shift Codes'!$A$1:$K$36,2,FALSE)</f>
        <v>M-F</v>
      </c>
      <c r="E449" s="51" t="str">
        <f>VLOOKUP(C449,'Shift Codes'!$A$1:$K$36,3,FALSE)</f>
        <v>SUN</v>
      </c>
    </row>
    <row r="450" spans="1:5" x14ac:dyDescent="0.35">
      <c r="A450" s="50">
        <v>202175985</v>
      </c>
      <c r="B450" t="s">
        <v>328</v>
      </c>
      <c r="C450" t="s">
        <v>110</v>
      </c>
      <c r="D450" s="51" t="str">
        <f>VLOOKUP(C450,'Shift Codes'!$A$1:$K$36,2,FALSE)</f>
        <v>M-F</v>
      </c>
      <c r="E450" s="51" t="str">
        <f>VLOOKUP(C450,'Shift Codes'!$A$1:$K$36,3,FALSE)</f>
        <v>SUN</v>
      </c>
    </row>
    <row r="451" spans="1:5" x14ac:dyDescent="0.35">
      <c r="A451" s="50">
        <v>201805519</v>
      </c>
      <c r="B451" t="s">
        <v>293</v>
      </c>
      <c r="C451" t="s">
        <v>110</v>
      </c>
      <c r="D451" s="51" t="str">
        <f>VLOOKUP(C451,'Shift Codes'!$A$1:$K$36,2,FALSE)</f>
        <v>M-F</v>
      </c>
      <c r="E451" s="51" t="str">
        <f>VLOOKUP(C451,'Shift Codes'!$A$1:$K$36,3,FALSE)</f>
        <v>SUN</v>
      </c>
    </row>
    <row r="452" spans="1:5" x14ac:dyDescent="0.35">
      <c r="A452" s="50">
        <v>201734905</v>
      </c>
      <c r="B452" t="s">
        <v>299</v>
      </c>
      <c r="C452" t="s">
        <v>110</v>
      </c>
      <c r="D452" s="51" t="str">
        <f>VLOOKUP(C452,'Shift Codes'!$A$1:$K$36,2,FALSE)</f>
        <v>M-F</v>
      </c>
      <c r="E452" s="51" t="str">
        <f>VLOOKUP(C452,'Shift Codes'!$A$1:$K$36,3,FALSE)</f>
        <v>SUN</v>
      </c>
    </row>
    <row r="453" spans="1:5" x14ac:dyDescent="0.35">
      <c r="A453" s="50">
        <v>201722737</v>
      </c>
      <c r="B453" t="s">
        <v>339</v>
      </c>
      <c r="C453" t="s">
        <v>110</v>
      </c>
      <c r="D453" s="51" t="str">
        <f>VLOOKUP(C453,'Shift Codes'!$A$1:$K$36,2,FALSE)</f>
        <v>M-F</v>
      </c>
      <c r="E453" s="51" t="str">
        <f>VLOOKUP(C453,'Shift Codes'!$A$1:$K$36,3,FALSE)</f>
        <v>SUN</v>
      </c>
    </row>
    <row r="454" spans="1:5" x14ac:dyDescent="0.35">
      <c r="A454" s="50">
        <v>201704190</v>
      </c>
      <c r="B454" t="s">
        <v>336</v>
      </c>
      <c r="C454" t="s">
        <v>110</v>
      </c>
      <c r="D454" s="51" t="str">
        <f>VLOOKUP(C454,'Shift Codes'!$A$1:$K$36,2,FALSE)</f>
        <v>M-F</v>
      </c>
      <c r="E454" s="51" t="str">
        <f>VLOOKUP(C454,'Shift Codes'!$A$1:$K$36,3,FALSE)</f>
        <v>SUN</v>
      </c>
    </row>
    <row r="455" spans="1:5" x14ac:dyDescent="0.35">
      <c r="A455" s="50">
        <v>200931638</v>
      </c>
      <c r="B455" t="s">
        <v>294</v>
      </c>
      <c r="C455" t="s">
        <v>110</v>
      </c>
      <c r="D455" s="51" t="str">
        <f>VLOOKUP(C455,'Shift Codes'!$A$1:$K$36,2,FALSE)</f>
        <v>M-F</v>
      </c>
      <c r="E455" s="51" t="str">
        <f>VLOOKUP(C455,'Shift Codes'!$A$1:$K$36,3,FALSE)</f>
        <v>SUN</v>
      </c>
    </row>
    <row r="456" spans="1:5" x14ac:dyDescent="0.35">
      <c r="A456" s="50">
        <v>200878926</v>
      </c>
      <c r="B456" t="s">
        <v>109</v>
      </c>
      <c r="C456" t="s">
        <v>110</v>
      </c>
      <c r="D456" s="51" t="str">
        <f>VLOOKUP(C456,'Shift Codes'!$A$1:$K$36,2,FALSE)</f>
        <v>M-F</v>
      </c>
      <c r="E456" s="51" t="str">
        <f>VLOOKUP(C456,'Shift Codes'!$A$1:$K$36,3,FALSE)</f>
        <v>SUN</v>
      </c>
    </row>
    <row r="457" spans="1:5" x14ac:dyDescent="0.35">
      <c r="A457" s="50">
        <v>111266433</v>
      </c>
      <c r="B457" t="s">
        <v>505</v>
      </c>
      <c r="C457" t="s">
        <v>110</v>
      </c>
      <c r="D457" s="51" t="str">
        <f>VLOOKUP(C457,'Shift Codes'!$A$1:$K$36,2,FALSE)</f>
        <v>M-F</v>
      </c>
      <c r="E457" s="51" t="str">
        <f>VLOOKUP(C457,'Shift Codes'!$A$1:$K$36,3,FALSE)</f>
        <v>SUN</v>
      </c>
    </row>
    <row r="458" spans="1:5" x14ac:dyDescent="0.35">
      <c r="A458" s="50">
        <v>110947146</v>
      </c>
      <c r="B458" t="s">
        <v>348</v>
      </c>
      <c r="C458" t="s">
        <v>110</v>
      </c>
      <c r="D458" s="51" t="str">
        <f>VLOOKUP(C458,'Shift Codes'!$A$1:$K$36,2,FALSE)</f>
        <v>M-F</v>
      </c>
      <c r="E458" s="51" t="str">
        <f>VLOOKUP(C458,'Shift Codes'!$A$1:$K$36,3,FALSE)</f>
        <v>SUN</v>
      </c>
    </row>
    <row r="459" spans="1:5" x14ac:dyDescent="0.35">
      <c r="A459" s="50">
        <v>108958900</v>
      </c>
      <c r="B459" t="s">
        <v>349</v>
      </c>
      <c r="C459" t="s">
        <v>110</v>
      </c>
      <c r="D459" s="51" t="str">
        <f>VLOOKUP(C459,'Shift Codes'!$A$1:$K$36,2,FALSE)</f>
        <v>M-F</v>
      </c>
      <c r="E459" s="51" t="str">
        <f>VLOOKUP(C459,'Shift Codes'!$A$1:$K$36,3,FALSE)</f>
        <v>SUN</v>
      </c>
    </row>
    <row r="460" spans="1:5" x14ac:dyDescent="0.35">
      <c r="A460" s="50">
        <v>101898235</v>
      </c>
      <c r="B460" t="s">
        <v>113</v>
      </c>
      <c r="C460" t="s">
        <v>110</v>
      </c>
      <c r="D460" s="51" t="str">
        <f>VLOOKUP(C460,'Shift Codes'!$A$1:$K$36,2,FALSE)</f>
        <v>M-F</v>
      </c>
      <c r="E460" s="51" t="str">
        <f>VLOOKUP(C460,'Shift Codes'!$A$1:$K$36,3,FALSE)</f>
        <v>SUN</v>
      </c>
    </row>
    <row r="461" spans="1:5" x14ac:dyDescent="0.35">
      <c r="A461" s="50">
        <v>111717098</v>
      </c>
      <c r="B461" t="s">
        <v>259</v>
      </c>
      <c r="C461" t="s">
        <v>437</v>
      </c>
      <c r="D461" s="51" t="str">
        <f>VLOOKUP(C461,'Shift Codes'!$A$1:$K$36,2,FALSE)</f>
        <v>Su-W</v>
      </c>
      <c r="E461" s="51" t="str">
        <f>VLOOKUP(C461,'Shift Codes'!$A$1:$K$36,3,FALSE)</f>
        <v>DAY/TWI</v>
      </c>
    </row>
    <row r="462" spans="1:5" x14ac:dyDescent="0.35">
      <c r="A462" s="50">
        <v>111576473</v>
      </c>
      <c r="B462" t="s">
        <v>202</v>
      </c>
      <c r="C462" t="s">
        <v>437</v>
      </c>
      <c r="D462" s="51" t="str">
        <f>VLOOKUP(C462,'Shift Codes'!$A$1:$K$36,2,FALSE)</f>
        <v>Su-W</v>
      </c>
      <c r="E462" s="51" t="str">
        <f>VLOOKUP(C462,'Shift Codes'!$A$1:$K$36,3,FALSE)</f>
        <v>DAY/TWI</v>
      </c>
    </row>
    <row r="463" spans="1:5" x14ac:dyDescent="0.35">
      <c r="A463" s="50">
        <v>111540524</v>
      </c>
      <c r="B463" t="s">
        <v>231</v>
      </c>
      <c r="C463" t="s">
        <v>437</v>
      </c>
      <c r="D463" s="51" t="str">
        <f>VLOOKUP(C463,'Shift Codes'!$A$1:$K$36,2,FALSE)</f>
        <v>Su-W</v>
      </c>
      <c r="E463" s="51" t="str">
        <f>VLOOKUP(C463,'Shift Codes'!$A$1:$K$36,3,FALSE)</f>
        <v>DAY/TWI</v>
      </c>
    </row>
    <row r="464" spans="1:5" x14ac:dyDescent="0.35">
      <c r="A464" s="50">
        <v>111540520</v>
      </c>
      <c r="B464" t="s">
        <v>274</v>
      </c>
      <c r="C464" t="s">
        <v>437</v>
      </c>
      <c r="D464" s="51" t="str">
        <f>VLOOKUP(C464,'Shift Codes'!$A$1:$K$36,2,FALSE)</f>
        <v>Su-W</v>
      </c>
      <c r="E464" s="51" t="str">
        <f>VLOOKUP(C464,'Shift Codes'!$A$1:$K$36,3,FALSE)</f>
        <v>DAY/TWI</v>
      </c>
    </row>
    <row r="465" spans="1:5" x14ac:dyDescent="0.35">
      <c r="A465" s="50">
        <v>111382966</v>
      </c>
      <c r="B465" t="s">
        <v>266</v>
      </c>
      <c r="C465" t="s">
        <v>437</v>
      </c>
      <c r="D465" s="51" t="str">
        <f>VLOOKUP(C465,'Shift Codes'!$A$1:$K$36,2,FALSE)</f>
        <v>Su-W</v>
      </c>
      <c r="E465" s="51" t="str">
        <f>VLOOKUP(C465,'Shift Codes'!$A$1:$K$36,3,FALSE)</f>
        <v>DAY/TWI</v>
      </c>
    </row>
    <row r="466" spans="1:5" x14ac:dyDescent="0.35">
      <c r="A466" s="50">
        <v>110558077</v>
      </c>
      <c r="B466" t="s">
        <v>197</v>
      </c>
      <c r="C466" t="s">
        <v>437</v>
      </c>
      <c r="D466" s="51" t="str">
        <f>VLOOKUP(C466,'Shift Codes'!$A$1:$K$36,2,FALSE)</f>
        <v>Su-W</v>
      </c>
      <c r="E466" s="51" t="str">
        <f>VLOOKUP(C466,'Shift Codes'!$A$1:$K$36,3,FALSE)</f>
        <v>DAY/TWI</v>
      </c>
    </row>
    <row r="467" spans="1:5" x14ac:dyDescent="0.35">
      <c r="A467" s="50">
        <v>108586634</v>
      </c>
      <c r="B467" t="s">
        <v>291</v>
      </c>
      <c r="C467" t="s">
        <v>437</v>
      </c>
      <c r="D467" s="51" t="str">
        <f>VLOOKUP(C467,'Shift Codes'!$A$1:$K$36,2,FALSE)</f>
        <v>Su-W</v>
      </c>
      <c r="E467" s="51" t="str">
        <f>VLOOKUP(C467,'Shift Codes'!$A$1:$K$36,3,FALSE)</f>
        <v>DAY/TWI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F0149-E3F2-40ED-998F-C51D61B1B7BC}">
  <sheetPr codeName="Sheet10"/>
  <dimension ref="A1:K36"/>
  <sheetViews>
    <sheetView workbookViewId="0">
      <selection activeCell="O17" sqref="O17"/>
    </sheetView>
  </sheetViews>
  <sheetFormatPr defaultRowHeight="14.5" x14ac:dyDescent="0.35"/>
  <sheetData>
    <row r="1" spans="1:11" x14ac:dyDescent="0.35">
      <c r="A1" s="6" t="s">
        <v>404</v>
      </c>
      <c r="B1" s="6" t="s">
        <v>405</v>
      </c>
      <c r="C1" s="6" t="s">
        <v>406</v>
      </c>
      <c r="D1" s="6" t="s">
        <v>407</v>
      </c>
      <c r="E1" s="6" t="s">
        <v>408</v>
      </c>
      <c r="F1" s="6" t="s">
        <v>409</v>
      </c>
      <c r="G1" s="6" t="s">
        <v>410</v>
      </c>
      <c r="H1" s="6" t="s">
        <v>411</v>
      </c>
      <c r="I1" s="6" t="s">
        <v>412</v>
      </c>
      <c r="J1" s="6" t="s">
        <v>413</v>
      </c>
      <c r="K1" s="6" t="s">
        <v>414</v>
      </c>
    </row>
    <row r="2" spans="1:11" x14ac:dyDescent="0.35">
      <c r="A2" t="s">
        <v>415</v>
      </c>
      <c r="B2" t="s">
        <v>416</v>
      </c>
      <c r="C2" t="s">
        <v>417</v>
      </c>
      <c r="D2">
        <v>1</v>
      </c>
      <c r="E2">
        <v>1</v>
      </c>
      <c r="F2">
        <v>1</v>
      </c>
      <c r="G2">
        <v>1</v>
      </c>
      <c r="H2">
        <v>1</v>
      </c>
      <c r="I2">
        <v>0</v>
      </c>
      <c r="J2">
        <v>0</v>
      </c>
      <c r="K2">
        <v>1</v>
      </c>
    </row>
    <row r="3" spans="1:11" x14ac:dyDescent="0.35">
      <c r="A3" t="s">
        <v>110</v>
      </c>
      <c r="B3" t="s">
        <v>418</v>
      </c>
      <c r="C3" t="s">
        <v>417</v>
      </c>
      <c r="D3">
        <v>0</v>
      </c>
      <c r="E3">
        <v>1</v>
      </c>
      <c r="F3">
        <v>1</v>
      </c>
      <c r="G3">
        <v>1</v>
      </c>
      <c r="H3">
        <v>1</v>
      </c>
      <c r="I3">
        <v>1</v>
      </c>
      <c r="J3">
        <v>0</v>
      </c>
      <c r="K3">
        <v>2</v>
      </c>
    </row>
    <row r="4" spans="1:11" x14ac:dyDescent="0.35">
      <c r="A4" t="s">
        <v>419</v>
      </c>
      <c r="B4" t="s">
        <v>420</v>
      </c>
      <c r="C4" t="s">
        <v>417</v>
      </c>
      <c r="D4">
        <v>0</v>
      </c>
      <c r="E4">
        <v>0</v>
      </c>
      <c r="F4">
        <v>1</v>
      </c>
      <c r="G4">
        <v>1</v>
      </c>
      <c r="H4">
        <v>1</v>
      </c>
      <c r="I4">
        <v>1</v>
      </c>
      <c r="J4">
        <v>1</v>
      </c>
      <c r="K4">
        <v>3</v>
      </c>
    </row>
    <row r="5" spans="1:11" x14ac:dyDescent="0.35">
      <c r="A5" t="s">
        <v>88</v>
      </c>
      <c r="B5" t="s">
        <v>421</v>
      </c>
      <c r="C5" t="s">
        <v>417</v>
      </c>
      <c r="D5">
        <v>1</v>
      </c>
      <c r="E5">
        <v>0</v>
      </c>
      <c r="F5">
        <v>0</v>
      </c>
      <c r="G5">
        <v>1</v>
      </c>
      <c r="H5">
        <v>1</v>
      </c>
      <c r="I5">
        <v>1</v>
      </c>
      <c r="J5">
        <v>1</v>
      </c>
      <c r="K5">
        <v>4</v>
      </c>
    </row>
    <row r="6" spans="1:11" x14ac:dyDescent="0.35">
      <c r="A6" t="s">
        <v>422</v>
      </c>
      <c r="B6" t="s">
        <v>423</v>
      </c>
      <c r="C6" t="s">
        <v>417</v>
      </c>
      <c r="D6">
        <v>1</v>
      </c>
      <c r="E6">
        <v>1</v>
      </c>
      <c r="F6">
        <v>0</v>
      </c>
      <c r="G6">
        <v>0</v>
      </c>
      <c r="H6">
        <v>1</v>
      </c>
      <c r="I6">
        <v>1</v>
      </c>
      <c r="J6">
        <v>1</v>
      </c>
      <c r="K6">
        <v>5</v>
      </c>
    </row>
    <row r="7" spans="1:11" x14ac:dyDescent="0.35">
      <c r="A7" t="s">
        <v>424</v>
      </c>
      <c r="B7" t="s">
        <v>425</v>
      </c>
      <c r="C7" t="s">
        <v>417</v>
      </c>
      <c r="D7">
        <v>1</v>
      </c>
      <c r="E7">
        <v>1</v>
      </c>
      <c r="F7">
        <v>1</v>
      </c>
      <c r="G7">
        <v>0</v>
      </c>
      <c r="H7">
        <v>0</v>
      </c>
      <c r="I7">
        <v>1</v>
      </c>
      <c r="J7">
        <v>1</v>
      </c>
      <c r="K7">
        <v>6</v>
      </c>
    </row>
    <row r="8" spans="1:11" x14ac:dyDescent="0.35">
      <c r="A8" t="s">
        <v>426</v>
      </c>
      <c r="B8" t="s">
        <v>427</v>
      </c>
      <c r="C8" t="s">
        <v>417</v>
      </c>
      <c r="D8">
        <v>1</v>
      </c>
      <c r="E8">
        <v>1</v>
      </c>
      <c r="F8">
        <v>1</v>
      </c>
      <c r="G8">
        <v>0</v>
      </c>
      <c r="H8">
        <v>0</v>
      </c>
      <c r="I8">
        <v>1</v>
      </c>
      <c r="J8">
        <v>1</v>
      </c>
      <c r="K8">
        <v>7</v>
      </c>
    </row>
    <row r="9" spans="1:11" x14ac:dyDescent="0.35">
      <c r="A9" t="s">
        <v>428</v>
      </c>
      <c r="B9" t="s">
        <v>429</v>
      </c>
      <c r="C9" t="s">
        <v>417</v>
      </c>
      <c r="D9">
        <v>1</v>
      </c>
      <c r="E9">
        <v>1</v>
      </c>
      <c r="F9">
        <v>1</v>
      </c>
      <c r="G9">
        <v>1</v>
      </c>
      <c r="H9">
        <v>0</v>
      </c>
      <c r="I9">
        <v>0</v>
      </c>
      <c r="J9">
        <v>1</v>
      </c>
      <c r="K9">
        <v>8</v>
      </c>
    </row>
    <row r="10" spans="1:11" x14ac:dyDescent="0.35">
      <c r="A10" t="s">
        <v>430</v>
      </c>
      <c r="B10" t="s">
        <v>416</v>
      </c>
      <c r="C10" t="s">
        <v>431</v>
      </c>
      <c r="D10">
        <v>1</v>
      </c>
      <c r="E10">
        <v>1</v>
      </c>
      <c r="F10">
        <v>1</v>
      </c>
      <c r="G10">
        <v>1</v>
      </c>
      <c r="H10">
        <v>1</v>
      </c>
      <c r="I10">
        <v>0</v>
      </c>
      <c r="J10">
        <v>0</v>
      </c>
      <c r="K10">
        <v>9</v>
      </c>
    </row>
    <row r="11" spans="1:11" x14ac:dyDescent="0.35">
      <c r="A11" t="s">
        <v>432</v>
      </c>
      <c r="B11" t="s">
        <v>418</v>
      </c>
      <c r="C11" t="s">
        <v>431</v>
      </c>
      <c r="D11">
        <v>0</v>
      </c>
      <c r="E11">
        <v>1</v>
      </c>
      <c r="F11">
        <v>1</v>
      </c>
      <c r="G11">
        <v>1</v>
      </c>
      <c r="H11">
        <v>1</v>
      </c>
      <c r="I11">
        <v>1</v>
      </c>
      <c r="J11">
        <v>0</v>
      </c>
      <c r="K11">
        <v>10</v>
      </c>
    </row>
    <row r="12" spans="1:11" x14ac:dyDescent="0.35">
      <c r="A12" t="s">
        <v>433</v>
      </c>
      <c r="B12" t="s">
        <v>420</v>
      </c>
      <c r="C12" t="s">
        <v>431</v>
      </c>
      <c r="D12">
        <v>0</v>
      </c>
      <c r="E12">
        <v>0</v>
      </c>
      <c r="F12">
        <v>1</v>
      </c>
      <c r="G12">
        <v>1</v>
      </c>
      <c r="H12">
        <v>1</v>
      </c>
      <c r="I12">
        <v>1</v>
      </c>
      <c r="J12">
        <v>1</v>
      </c>
      <c r="K12">
        <v>11</v>
      </c>
    </row>
    <row r="13" spans="1:11" x14ac:dyDescent="0.35">
      <c r="A13" t="s">
        <v>104</v>
      </c>
      <c r="B13" t="s">
        <v>421</v>
      </c>
      <c r="C13" t="s">
        <v>431</v>
      </c>
      <c r="D13">
        <v>1</v>
      </c>
      <c r="E13">
        <v>0</v>
      </c>
      <c r="F13">
        <v>0</v>
      </c>
      <c r="G13">
        <v>1</v>
      </c>
      <c r="H13">
        <v>1</v>
      </c>
      <c r="I13">
        <v>1</v>
      </c>
      <c r="J13">
        <v>1</v>
      </c>
      <c r="K13">
        <v>12</v>
      </c>
    </row>
    <row r="14" spans="1:11" x14ac:dyDescent="0.35">
      <c r="A14" t="s">
        <v>434</v>
      </c>
      <c r="B14" t="s">
        <v>423</v>
      </c>
      <c r="C14" t="s">
        <v>431</v>
      </c>
      <c r="D14">
        <v>1</v>
      </c>
      <c r="E14">
        <v>1</v>
      </c>
      <c r="F14">
        <v>0</v>
      </c>
      <c r="G14">
        <v>0</v>
      </c>
      <c r="H14">
        <v>1</v>
      </c>
      <c r="I14">
        <v>1</v>
      </c>
      <c r="J14">
        <v>1</v>
      </c>
      <c r="K14">
        <v>13</v>
      </c>
    </row>
    <row r="15" spans="1:11" x14ac:dyDescent="0.35">
      <c r="A15" t="s">
        <v>435</v>
      </c>
      <c r="B15" t="s">
        <v>427</v>
      </c>
      <c r="C15" t="s">
        <v>431</v>
      </c>
      <c r="D15">
        <v>1</v>
      </c>
      <c r="E15">
        <v>1</v>
      </c>
      <c r="F15">
        <v>1</v>
      </c>
      <c r="G15">
        <v>0</v>
      </c>
      <c r="H15">
        <v>0</v>
      </c>
      <c r="I15">
        <v>1</v>
      </c>
      <c r="J15">
        <v>1</v>
      </c>
      <c r="K15">
        <v>14</v>
      </c>
    </row>
    <row r="16" spans="1:11" x14ac:dyDescent="0.35">
      <c r="A16" t="s">
        <v>436</v>
      </c>
      <c r="B16" t="s">
        <v>429</v>
      </c>
      <c r="C16" t="s">
        <v>431</v>
      </c>
      <c r="D16">
        <v>1</v>
      </c>
      <c r="E16">
        <v>1</v>
      </c>
      <c r="F16">
        <v>1</v>
      </c>
      <c r="G16">
        <v>1</v>
      </c>
      <c r="H16">
        <v>0</v>
      </c>
      <c r="I16">
        <v>0</v>
      </c>
      <c r="J16">
        <v>1</v>
      </c>
      <c r="K16">
        <v>15</v>
      </c>
    </row>
    <row r="17" spans="1:11" x14ac:dyDescent="0.35">
      <c r="A17" t="s">
        <v>437</v>
      </c>
      <c r="B17" t="s">
        <v>438</v>
      </c>
      <c r="C17" t="s">
        <v>439</v>
      </c>
      <c r="D17">
        <v>1</v>
      </c>
      <c r="E17">
        <v>1</v>
      </c>
      <c r="F17">
        <v>1</v>
      </c>
      <c r="G17">
        <v>1</v>
      </c>
      <c r="H17">
        <v>0</v>
      </c>
      <c r="I17">
        <v>0</v>
      </c>
      <c r="J17">
        <v>0</v>
      </c>
      <c r="K17">
        <v>16</v>
      </c>
    </row>
    <row r="18" spans="1:11" x14ac:dyDescent="0.35">
      <c r="A18" t="s">
        <v>440</v>
      </c>
      <c r="B18" t="s">
        <v>438</v>
      </c>
      <c r="C18" t="s">
        <v>439</v>
      </c>
      <c r="D18">
        <v>1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K18">
        <v>17</v>
      </c>
    </row>
    <row r="19" spans="1:11" x14ac:dyDescent="0.35">
      <c r="A19" t="s">
        <v>441</v>
      </c>
      <c r="B19" t="s">
        <v>442</v>
      </c>
      <c r="C19" t="s">
        <v>439</v>
      </c>
      <c r="D19">
        <v>0</v>
      </c>
      <c r="E19">
        <v>0</v>
      </c>
      <c r="F19">
        <v>0</v>
      </c>
      <c r="G19">
        <v>1</v>
      </c>
      <c r="H19">
        <v>1</v>
      </c>
      <c r="I19">
        <v>1</v>
      </c>
      <c r="J19">
        <v>1</v>
      </c>
      <c r="K19">
        <v>18</v>
      </c>
    </row>
    <row r="20" spans="1:11" x14ac:dyDescent="0.35">
      <c r="A20" t="s">
        <v>443</v>
      </c>
      <c r="B20" t="s">
        <v>416</v>
      </c>
      <c r="C20" t="s">
        <v>444</v>
      </c>
      <c r="D20">
        <v>1</v>
      </c>
      <c r="E20">
        <v>1</v>
      </c>
      <c r="F20">
        <v>1</v>
      </c>
      <c r="G20">
        <v>1</v>
      </c>
      <c r="H20">
        <v>1</v>
      </c>
      <c r="I20">
        <v>0</v>
      </c>
      <c r="J20">
        <v>0</v>
      </c>
      <c r="K20">
        <v>19</v>
      </c>
    </row>
    <row r="21" spans="1:11" x14ac:dyDescent="0.35">
      <c r="A21" t="s">
        <v>445</v>
      </c>
      <c r="B21" t="s">
        <v>418</v>
      </c>
      <c r="C21" t="s">
        <v>444</v>
      </c>
      <c r="D21">
        <v>0</v>
      </c>
      <c r="E21">
        <v>1</v>
      </c>
      <c r="F21">
        <v>1</v>
      </c>
      <c r="G21">
        <v>1</v>
      </c>
      <c r="H21">
        <v>1</v>
      </c>
      <c r="I21">
        <v>1</v>
      </c>
      <c r="J21">
        <v>0</v>
      </c>
      <c r="K21">
        <v>20</v>
      </c>
    </row>
    <row r="22" spans="1:11" x14ac:dyDescent="0.35">
      <c r="A22" t="s">
        <v>91</v>
      </c>
      <c r="B22" t="s">
        <v>420</v>
      </c>
      <c r="C22" t="s">
        <v>444</v>
      </c>
      <c r="D22">
        <v>0</v>
      </c>
      <c r="E22">
        <v>0</v>
      </c>
      <c r="F22">
        <v>1</v>
      </c>
      <c r="G22">
        <v>1</v>
      </c>
      <c r="H22">
        <v>1</v>
      </c>
      <c r="I22">
        <v>1</v>
      </c>
      <c r="J22">
        <v>1</v>
      </c>
      <c r="K22">
        <v>21</v>
      </c>
    </row>
    <row r="23" spans="1:11" x14ac:dyDescent="0.35">
      <c r="A23" t="s">
        <v>446</v>
      </c>
      <c r="B23" t="s">
        <v>421</v>
      </c>
      <c r="C23" t="s">
        <v>444</v>
      </c>
      <c r="D23">
        <v>1</v>
      </c>
      <c r="E23">
        <v>0</v>
      </c>
      <c r="F23">
        <v>0</v>
      </c>
      <c r="G23">
        <v>1</v>
      </c>
      <c r="H23">
        <v>1</v>
      </c>
      <c r="I23">
        <v>1</v>
      </c>
      <c r="J23">
        <v>1</v>
      </c>
      <c r="K23">
        <v>22</v>
      </c>
    </row>
    <row r="24" spans="1:11" x14ac:dyDescent="0.35">
      <c r="A24" t="s">
        <v>95</v>
      </c>
      <c r="B24" t="s">
        <v>423</v>
      </c>
      <c r="C24" t="s">
        <v>444</v>
      </c>
      <c r="D24">
        <v>1</v>
      </c>
      <c r="E24">
        <v>1</v>
      </c>
      <c r="F24">
        <v>0</v>
      </c>
      <c r="G24">
        <v>0</v>
      </c>
      <c r="H24">
        <v>1</v>
      </c>
      <c r="I24">
        <v>1</v>
      </c>
      <c r="J24">
        <v>1</v>
      </c>
      <c r="K24">
        <v>23</v>
      </c>
    </row>
    <row r="25" spans="1:11" x14ac:dyDescent="0.35">
      <c r="A25" t="s">
        <v>101</v>
      </c>
      <c r="B25" t="s">
        <v>427</v>
      </c>
      <c r="C25" t="s">
        <v>444</v>
      </c>
      <c r="D25">
        <v>1</v>
      </c>
      <c r="E25">
        <v>1</v>
      </c>
      <c r="F25">
        <v>1</v>
      </c>
      <c r="G25">
        <v>0</v>
      </c>
      <c r="H25">
        <v>0</v>
      </c>
      <c r="I25">
        <v>1</v>
      </c>
      <c r="J25">
        <v>1</v>
      </c>
      <c r="K25">
        <v>24</v>
      </c>
    </row>
    <row r="26" spans="1:11" x14ac:dyDescent="0.35">
      <c r="A26" t="s">
        <v>97</v>
      </c>
      <c r="B26" t="s">
        <v>429</v>
      </c>
      <c r="C26" t="s">
        <v>444</v>
      </c>
      <c r="D26">
        <v>1</v>
      </c>
      <c r="E26">
        <v>1</v>
      </c>
      <c r="F26">
        <v>1</v>
      </c>
      <c r="G26">
        <v>1</v>
      </c>
      <c r="H26">
        <v>0</v>
      </c>
      <c r="I26">
        <v>0</v>
      </c>
      <c r="J26">
        <v>1</v>
      </c>
      <c r="K26">
        <v>25</v>
      </c>
    </row>
    <row r="27" spans="1:11" x14ac:dyDescent="0.35">
      <c r="A27" t="s">
        <v>447</v>
      </c>
      <c r="B27" t="s">
        <v>442</v>
      </c>
      <c r="C27" t="s">
        <v>448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26</v>
      </c>
    </row>
    <row r="28" spans="1:11" x14ac:dyDescent="0.35">
      <c r="A28" t="s">
        <v>148</v>
      </c>
      <c r="B28" t="s">
        <v>416</v>
      </c>
      <c r="C28" t="s">
        <v>449</v>
      </c>
      <c r="D28">
        <v>1</v>
      </c>
      <c r="E28">
        <v>1</v>
      </c>
      <c r="F28">
        <v>1</v>
      </c>
      <c r="G28">
        <v>1</v>
      </c>
      <c r="H28">
        <v>1</v>
      </c>
      <c r="I28">
        <v>0</v>
      </c>
      <c r="J28">
        <v>0</v>
      </c>
      <c r="K28">
        <v>27</v>
      </c>
    </row>
    <row r="29" spans="1:11" x14ac:dyDescent="0.35">
      <c r="A29" t="s">
        <v>165</v>
      </c>
      <c r="B29" t="s">
        <v>418</v>
      </c>
      <c r="C29" t="s">
        <v>449</v>
      </c>
      <c r="D29">
        <v>0</v>
      </c>
      <c r="E29">
        <v>1</v>
      </c>
      <c r="F29">
        <v>1</v>
      </c>
      <c r="G29">
        <v>1</v>
      </c>
      <c r="H29">
        <v>1</v>
      </c>
      <c r="I29">
        <v>1</v>
      </c>
      <c r="J29">
        <v>0</v>
      </c>
      <c r="K29">
        <v>28</v>
      </c>
    </row>
    <row r="30" spans="1:11" x14ac:dyDescent="0.35">
      <c r="A30" t="s">
        <v>137</v>
      </c>
      <c r="B30" t="s">
        <v>420</v>
      </c>
      <c r="C30" t="s">
        <v>449</v>
      </c>
      <c r="D30">
        <v>0</v>
      </c>
      <c r="E30">
        <v>0</v>
      </c>
      <c r="F30">
        <v>1</v>
      </c>
      <c r="G30">
        <v>1</v>
      </c>
      <c r="H30">
        <v>1</v>
      </c>
      <c r="I30">
        <v>1</v>
      </c>
      <c r="J30">
        <v>1</v>
      </c>
      <c r="K30">
        <v>29</v>
      </c>
    </row>
    <row r="31" spans="1:11" x14ac:dyDescent="0.35">
      <c r="A31" t="s">
        <v>128</v>
      </c>
      <c r="B31" t="s">
        <v>421</v>
      </c>
      <c r="C31" t="s">
        <v>449</v>
      </c>
      <c r="D31">
        <v>1</v>
      </c>
      <c r="E31">
        <v>0</v>
      </c>
      <c r="F31">
        <v>0</v>
      </c>
      <c r="G31">
        <v>1</v>
      </c>
      <c r="H31">
        <v>1</v>
      </c>
      <c r="I31">
        <v>1</v>
      </c>
      <c r="J31">
        <v>1</v>
      </c>
      <c r="K31">
        <v>30</v>
      </c>
    </row>
    <row r="32" spans="1:11" x14ac:dyDescent="0.35">
      <c r="A32" t="s">
        <v>115</v>
      </c>
      <c r="B32" t="s">
        <v>423</v>
      </c>
      <c r="C32" t="s">
        <v>449</v>
      </c>
      <c r="D32">
        <v>1</v>
      </c>
      <c r="E32">
        <v>1</v>
      </c>
      <c r="F32">
        <v>0</v>
      </c>
      <c r="G32">
        <v>0</v>
      </c>
      <c r="H32">
        <v>1</v>
      </c>
      <c r="I32">
        <v>1</v>
      </c>
      <c r="J32">
        <v>1</v>
      </c>
      <c r="K32">
        <v>31</v>
      </c>
    </row>
    <row r="33" spans="1:11" x14ac:dyDescent="0.35">
      <c r="A33" t="s">
        <v>450</v>
      </c>
      <c r="B33" t="s">
        <v>427</v>
      </c>
      <c r="C33" t="s">
        <v>449</v>
      </c>
      <c r="D33">
        <v>1</v>
      </c>
      <c r="E33">
        <v>1</v>
      </c>
      <c r="F33">
        <v>1</v>
      </c>
      <c r="G33">
        <v>0</v>
      </c>
      <c r="H33">
        <v>0</v>
      </c>
      <c r="I33">
        <v>1</v>
      </c>
      <c r="J33">
        <v>1</v>
      </c>
      <c r="K33">
        <v>32</v>
      </c>
    </row>
    <row r="34" spans="1:11" x14ac:dyDescent="0.35">
      <c r="A34" t="s">
        <v>451</v>
      </c>
      <c r="B34" t="s">
        <v>429</v>
      </c>
      <c r="C34" t="s">
        <v>449</v>
      </c>
      <c r="D34">
        <v>1</v>
      </c>
      <c r="E34">
        <v>1</v>
      </c>
      <c r="F34">
        <v>1</v>
      </c>
      <c r="G34">
        <v>1</v>
      </c>
      <c r="H34">
        <v>0</v>
      </c>
      <c r="I34">
        <v>0</v>
      </c>
      <c r="J34">
        <v>1</v>
      </c>
      <c r="K34">
        <v>33</v>
      </c>
    </row>
    <row r="35" spans="1:11" x14ac:dyDescent="0.35">
      <c r="A35" t="s">
        <v>452</v>
      </c>
      <c r="B35" t="s">
        <v>438</v>
      </c>
      <c r="C35" t="s">
        <v>453</v>
      </c>
      <c r="D35">
        <v>1</v>
      </c>
      <c r="E35">
        <v>1</v>
      </c>
      <c r="F35">
        <v>1</v>
      </c>
      <c r="G35">
        <v>1</v>
      </c>
      <c r="H35">
        <v>0</v>
      </c>
      <c r="I35">
        <v>0</v>
      </c>
      <c r="J35">
        <v>0</v>
      </c>
      <c r="K35">
        <v>34</v>
      </c>
    </row>
    <row r="36" spans="1:11" x14ac:dyDescent="0.35">
      <c r="A36" t="s">
        <v>454</v>
      </c>
      <c r="B36" t="s">
        <v>442</v>
      </c>
      <c r="C36" t="s">
        <v>453</v>
      </c>
      <c r="D36">
        <v>0</v>
      </c>
      <c r="E36">
        <v>0</v>
      </c>
      <c r="F36">
        <v>0</v>
      </c>
      <c r="G36">
        <v>1</v>
      </c>
      <c r="H36">
        <v>1</v>
      </c>
      <c r="I36">
        <v>1</v>
      </c>
      <c r="J36">
        <v>1</v>
      </c>
      <c r="K36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Set-Up</vt:lpstr>
      <vt:lpstr>Set-Up Cache</vt:lpstr>
      <vt:lpstr>Print-Out</vt:lpstr>
      <vt:lpstr>Shift Details</vt:lpstr>
      <vt:lpstr>Output Roster</vt:lpstr>
      <vt:lpstr>Selections</vt:lpstr>
      <vt:lpstr>SSPOT</vt:lpstr>
      <vt:lpstr>Indirect Role Tracker Cache</vt:lpstr>
      <vt:lpstr>Ambassadors</vt:lpstr>
      <vt:lpstr>Associates</vt:lpstr>
      <vt:lpstr>Shift Codes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Givens, Caleb</dc:creator>
  <cp:lastModifiedBy>Givens, Caleb</cp:lastModifiedBy>
  <dcterms:created xsi:type="dcterms:W3CDTF">2025-01-02T14:53:00Z</dcterms:created>
  <dcterms:modified xsi:type="dcterms:W3CDTF">2025-01-15T21:32:50Z</dcterms:modified>
</cp:coreProperties>
</file>